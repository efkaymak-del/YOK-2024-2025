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172\PSIR 172, Spring 2025\"/>
    </mc:Choice>
  </mc:AlternateContent>
  <xr:revisionPtr revIDLastSave="0" documentId="8_{65FD47D8-F6A7-4F7F-BB38-CD913731F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R172 01 2024-25 2 Teori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2" i="2"/>
</calcChain>
</file>

<file path=xl/sharedStrings.xml><?xml version="1.0" encoding="utf-8"?>
<sst xmlns="http://schemas.openxmlformats.org/spreadsheetml/2006/main" count="679" uniqueCount="143">
  <si>
    <t>Name</t>
  </si>
  <si>
    <t>Surname</t>
  </si>
  <si>
    <t>Bolum</t>
  </si>
  <si>
    <t>Student Number</t>
  </si>
  <si>
    <t>20.02.2025 14:30-15:20 (Theoretical)</t>
  </si>
  <si>
    <t>27.02.2025 14:30-15:20 (Theoretical)</t>
  </si>
  <si>
    <t>06.03.2025 14:30-15:20 (Theoretical)</t>
  </si>
  <si>
    <t>06.03.2025 15:30-16:20 (Theoretical)</t>
  </si>
  <si>
    <t>13.03.2025 14:30-15:20 (Theoretical)</t>
  </si>
  <si>
    <t>13.03.2025 15:30-16:20 (Theoretical)</t>
  </si>
  <si>
    <t>27.03.2025 14:30-15:20 (Theoretical)</t>
  </si>
  <si>
    <t>27.03.2025 15:30-16:20 (Theoretical)</t>
  </si>
  <si>
    <t>03.04.2025 14:30-15:20 (Theoretical)</t>
  </si>
  <si>
    <t>03.04.2025 15:30-16:20 (Theoretical)</t>
  </si>
  <si>
    <t>10.04.2025 14:30-15:20 (Theoretical)</t>
  </si>
  <si>
    <t>10.04.2025 15:30-16:20 (Theoretical)</t>
  </si>
  <si>
    <t>08.05.2025 14:30-15:20 (Theoretical)</t>
  </si>
  <si>
    <t>08.05.2025 15:30-16:20 (Theoretical)</t>
  </si>
  <si>
    <t>15.05.2025 14:30-15:20 (Theoretical)</t>
  </si>
  <si>
    <t>29.05.2025 14:30-15:20 (Theoretical)</t>
  </si>
  <si>
    <t>29.05.2025 15:30-16:20 (Theoretical)</t>
  </si>
  <si>
    <t>Total Present</t>
  </si>
  <si>
    <t>Total Absent</t>
  </si>
  <si>
    <t>Total Excused</t>
  </si>
  <si>
    <t>Participation</t>
  </si>
  <si>
    <t>MEHMET NİHAT</t>
  </si>
  <si>
    <t>ÇAM</t>
  </si>
  <si>
    <t>ULUSLARARASI İLİŞKİLER</t>
  </si>
  <si>
    <t>20000020</t>
  </si>
  <si>
    <t>A</t>
  </si>
  <si>
    <t>P</t>
  </si>
  <si>
    <t>47.06%</t>
  </si>
  <si>
    <t>UMUT BERKE</t>
  </si>
  <si>
    <t>KORKUT</t>
  </si>
  <si>
    <t>20000025</t>
  </si>
  <si>
    <t>64.71%</t>
  </si>
  <si>
    <t>ECE</t>
  </si>
  <si>
    <t>GÖMDENİZ</t>
  </si>
  <si>
    <t>İNGİLİZCE MÜTERCİM VE TERCÜMANLIK</t>
  </si>
  <si>
    <t>21000410</t>
  </si>
  <si>
    <t>88.24%</t>
  </si>
  <si>
    <t>İPEK SU</t>
  </si>
  <si>
    <t>FEYZİOĞLU</t>
  </si>
  <si>
    <t>21330653</t>
  </si>
  <si>
    <t>82.35%</t>
  </si>
  <si>
    <t>ARZU</t>
  </si>
  <si>
    <t>ALP</t>
  </si>
  <si>
    <t>21331231</t>
  </si>
  <si>
    <t>76.47%</t>
  </si>
  <si>
    <t>ÖMER MUSTAFA</t>
  </si>
  <si>
    <t>FİDANER</t>
  </si>
  <si>
    <t>21331238</t>
  </si>
  <si>
    <t>MELISSA IFEOMA</t>
  </si>
  <si>
    <t>ODUNZE</t>
  </si>
  <si>
    <t>21901516</t>
  </si>
  <si>
    <t>58.82%</t>
  </si>
  <si>
    <t>SESAME TLOTLO</t>
  </si>
  <si>
    <t>MOTSHOME</t>
  </si>
  <si>
    <t>21903454</t>
  </si>
  <si>
    <t>HALİL</t>
  </si>
  <si>
    <t>KESKİN</t>
  </si>
  <si>
    <t>22000039</t>
  </si>
  <si>
    <t>BURAK MURAT</t>
  </si>
  <si>
    <t>TEZKOL</t>
  </si>
  <si>
    <t>SİYASET BİLİMİ</t>
  </si>
  <si>
    <t>22000087</t>
  </si>
  <si>
    <t>35.29%</t>
  </si>
  <si>
    <t>ZAFER EFE</t>
  </si>
  <si>
    <t>AKSU</t>
  </si>
  <si>
    <t>23000047</t>
  </si>
  <si>
    <t>YAPRAK</t>
  </si>
  <si>
    <t>ESKİOCAK</t>
  </si>
  <si>
    <t>23000050</t>
  </si>
  <si>
    <t>ELİF</t>
  </si>
  <si>
    <t>İMECİ</t>
  </si>
  <si>
    <t>23000053</t>
  </si>
  <si>
    <t>NİSAN</t>
  </si>
  <si>
    <t>UYAK</t>
  </si>
  <si>
    <t>23000062</t>
  </si>
  <si>
    <t>0%</t>
  </si>
  <si>
    <t>KÜBRA</t>
  </si>
  <si>
    <t>BİRER</t>
  </si>
  <si>
    <t>23000123</t>
  </si>
  <si>
    <t>94.12%</t>
  </si>
  <si>
    <t>ECE ZEYNEP</t>
  </si>
  <si>
    <t>GÖKYAR</t>
  </si>
  <si>
    <t>23000124</t>
  </si>
  <si>
    <t>BARIŞ</t>
  </si>
  <si>
    <t>HACIAYVAT</t>
  </si>
  <si>
    <t>23000125</t>
  </si>
  <si>
    <t>29.41%</t>
  </si>
  <si>
    <t>AYSEL</t>
  </si>
  <si>
    <t>RAHMANOVA</t>
  </si>
  <si>
    <t>23700762</t>
  </si>
  <si>
    <t>ARYA</t>
  </si>
  <si>
    <t>MASOUMI</t>
  </si>
  <si>
    <t>ULUSLARARASI TİCARET VE İŞLETMECİLİK</t>
  </si>
  <si>
    <t>23702824</t>
  </si>
  <si>
    <t>70.59%</t>
  </si>
  <si>
    <t>SAFIYA</t>
  </si>
  <si>
    <t>SADVAKASSOVA</t>
  </si>
  <si>
    <t>23702879</t>
  </si>
  <si>
    <t>52.94%</t>
  </si>
  <si>
    <t>MEHEK SAFIQ MOHAMED</t>
  </si>
  <si>
    <t>IQBAL</t>
  </si>
  <si>
    <t>23704561</t>
  </si>
  <si>
    <t>HAMDİ YİĞİT</t>
  </si>
  <si>
    <t>ÇAKMAKLI</t>
  </si>
  <si>
    <t>24000047</t>
  </si>
  <si>
    <t>ARDA</t>
  </si>
  <si>
    <t xml:space="preserve">EROGLU </t>
  </si>
  <si>
    <t>24330487</t>
  </si>
  <si>
    <t>BORAN EGE</t>
  </si>
  <si>
    <t>SAVİM</t>
  </si>
  <si>
    <t>24330488</t>
  </si>
  <si>
    <t>KEMAL REİS</t>
  </si>
  <si>
    <t>ÖZTÜRK</t>
  </si>
  <si>
    <t>24330577</t>
  </si>
  <si>
    <t>KAYRA</t>
  </si>
  <si>
    <t>MAVİLİ</t>
  </si>
  <si>
    <t>24450293</t>
  </si>
  <si>
    <t>ARUZHAN</t>
  </si>
  <si>
    <t>AMANGELDY</t>
  </si>
  <si>
    <t>24701026</t>
  </si>
  <si>
    <t>SABEL</t>
  </si>
  <si>
    <t>HAMCHO</t>
  </si>
  <si>
    <t>24773488</t>
  </si>
  <si>
    <t>10</t>
  </si>
  <si>
    <t>18</t>
  </si>
  <si>
    <t>21</t>
  </si>
  <si>
    <t>20</t>
  </si>
  <si>
    <t>15</t>
  </si>
  <si>
    <t>22</t>
  </si>
  <si>
    <t>25</t>
  </si>
  <si>
    <t>17</t>
  </si>
  <si>
    <t>9</t>
  </si>
  <si>
    <t>6</t>
  </si>
  <si>
    <t>7</t>
  </si>
  <si>
    <t>12</t>
  </si>
  <si>
    <t>5</t>
  </si>
  <si>
    <t>2</t>
  </si>
  <si>
    <t>0</t>
  </si>
  <si>
    <t>Participation (5pt)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</si>
</sst>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32" totalsRowShown="0">
  <autoFilter ref="A1:Z32" xr:uid="{00000000-0009-0000-0100-000001000000}"/>
  <tableColumns count="26">
    <tableColumn id="1" xr3:uid="{00000000-0010-0000-0000-000001000000}" name="Name"/>
    <tableColumn id="2" xr3:uid="{00000000-0010-0000-0000-000002000000}" name="Surname"/>
    <tableColumn id="3" xr3:uid="{00000000-0010-0000-0000-000003000000}" name="Bolum"/>
    <tableColumn id="4" xr3:uid="{00000000-0010-0000-0000-000004000000}" name="Student Number"/>
    <tableColumn id="5" xr3:uid="{00000000-0010-0000-0000-000005000000}" name="20.02.2025 14:30-15:20 (Theoretical)"/>
    <tableColumn id="6" xr3:uid="{00000000-0010-0000-0000-000006000000}" name="27.02.2025 14:30-15:20 (Theoretical)"/>
    <tableColumn id="7" xr3:uid="{00000000-0010-0000-0000-000007000000}" name="06.03.2025 14:30-15:20 (Theoretical)"/>
    <tableColumn id="8" xr3:uid="{00000000-0010-0000-0000-000008000000}" name="06.03.2025 15:30-16:20 (Theoretical)"/>
    <tableColumn id="9" xr3:uid="{00000000-0010-0000-0000-000009000000}" name="13.03.2025 14:30-15:20 (Theoretical)"/>
    <tableColumn id="10" xr3:uid="{00000000-0010-0000-0000-00000A000000}" name="13.03.2025 15:30-16:20 (Theoretical)"/>
    <tableColumn id="11" xr3:uid="{00000000-0010-0000-0000-00000B000000}" name="27.03.2025 14:30-15:20 (Theoretical)"/>
    <tableColumn id="12" xr3:uid="{00000000-0010-0000-0000-00000C000000}" name="27.03.2025 15:30-16:20 (Theoretical)"/>
    <tableColumn id="13" xr3:uid="{00000000-0010-0000-0000-00000D000000}" name="03.04.2025 14:30-15:20 (Theoretical)"/>
    <tableColumn id="14" xr3:uid="{00000000-0010-0000-0000-00000E000000}" name="03.04.2025 15:30-16:20 (Theoretical)"/>
    <tableColumn id="15" xr3:uid="{00000000-0010-0000-0000-00000F000000}" name="10.04.2025 14:30-15:20 (Theoretical)"/>
    <tableColumn id="16" xr3:uid="{00000000-0010-0000-0000-000010000000}" name="10.04.2025 15:30-16:20 (Theoretical)"/>
    <tableColumn id="17" xr3:uid="{00000000-0010-0000-0000-000011000000}" name="08.05.2025 14:30-15:20 (Theoretical)"/>
    <tableColumn id="18" xr3:uid="{00000000-0010-0000-0000-000012000000}" name="08.05.2025 15:30-16:20 (Theoretical)"/>
    <tableColumn id="19" xr3:uid="{00000000-0010-0000-0000-000013000000}" name="15.05.2025 14:30-15:20 (Theoretical)"/>
    <tableColumn id="20" xr3:uid="{00000000-0010-0000-0000-000014000000}" name="29.05.2025 14:30-15:20 (Theoretical)"/>
    <tableColumn id="21" xr3:uid="{00000000-0010-0000-0000-000015000000}" name="29.05.2025 15:30-16:20 (Theoretical)"/>
    <tableColumn id="22" xr3:uid="{00000000-0010-0000-0000-000016000000}" name="Total Present"/>
    <tableColumn id="23" xr3:uid="{00000000-0010-0000-0000-000017000000}" name="Total Absent"/>
    <tableColumn id="24" xr3:uid="{00000000-0010-0000-0000-000018000000}" name="Total Excused"/>
    <tableColumn id="25" xr3:uid="{00000000-0010-0000-0000-000019000000}" name="Participation"/>
    <tableColumn id="26" xr3:uid="{5B6A2606-40EE-46F0-BB70-38A181767A86}" name="Participation (5pt)" dataDxfId="0">
      <calculatedColumnFormula>IF(Table1[[#This Row],[Participation]]="", "", ROUND(VALUE(SUBSTITUTE(Table1[[#This Row],[Participation]],"%",""))/20,2))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topLeftCell="S9" workbookViewId="0">
      <selection activeCell="Z26" sqref="Z26"/>
    </sheetView>
  </sheetViews>
  <sheetFormatPr defaultRowHeight="14.4" x14ac:dyDescent="0.3"/>
  <cols>
    <col min="26" max="26" width="18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142</v>
      </c>
    </row>
    <row r="2" spans="1:26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29</v>
      </c>
      <c r="P2" t="s">
        <v>30</v>
      </c>
      <c r="Q2" t="s">
        <v>30</v>
      </c>
      <c r="R2" t="s">
        <v>29</v>
      </c>
      <c r="S2" t="s">
        <v>30</v>
      </c>
      <c r="T2" t="s">
        <v>29</v>
      </c>
      <c r="U2" t="s">
        <v>29</v>
      </c>
      <c r="V2">
        <v>8</v>
      </c>
      <c r="W2">
        <v>9</v>
      </c>
      <c r="X2">
        <v>0</v>
      </c>
      <c r="Y2" t="s">
        <v>31</v>
      </c>
      <c r="Z2" s="1">
        <f>IF(Table1[[#This Row],[Participation]]="", "", ROUND(VALUE(SUBSTITUTE(Table1[[#This Row],[Participation]],"%",""))/20,2))</f>
        <v>2.35</v>
      </c>
    </row>
    <row r="3" spans="1:26" x14ac:dyDescent="0.3">
      <c r="A3" t="s">
        <v>32</v>
      </c>
      <c r="B3" t="s">
        <v>33</v>
      </c>
      <c r="C3" t="s">
        <v>27</v>
      </c>
      <c r="D3" t="s">
        <v>34</v>
      </c>
      <c r="E3" t="s">
        <v>29</v>
      </c>
      <c r="F3" t="s">
        <v>29</v>
      </c>
      <c r="G3" t="s">
        <v>30</v>
      </c>
      <c r="H3" t="s">
        <v>30</v>
      </c>
      <c r="I3" t="s">
        <v>30</v>
      </c>
      <c r="J3" t="s">
        <v>30</v>
      </c>
      <c r="K3" t="s">
        <v>29</v>
      </c>
      <c r="L3" t="s">
        <v>29</v>
      </c>
      <c r="M3" t="s">
        <v>30</v>
      </c>
      <c r="N3" t="s">
        <v>30</v>
      </c>
      <c r="O3" t="s">
        <v>29</v>
      </c>
      <c r="P3" t="s">
        <v>29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>
        <v>11</v>
      </c>
      <c r="W3">
        <v>6</v>
      </c>
      <c r="X3">
        <v>0</v>
      </c>
      <c r="Y3" t="s">
        <v>35</v>
      </c>
      <c r="Z3" s="1">
        <f>IF(Table1[[#This Row],[Participation]]="", "", ROUND(VALUE(SUBSTITUTE(Table1[[#This Row],[Participation]],"%",""))/20,2))</f>
        <v>3.24</v>
      </c>
    </row>
    <row r="4" spans="1:26" x14ac:dyDescent="0.3">
      <c r="A4" t="s">
        <v>36</v>
      </c>
      <c r="B4" t="s">
        <v>37</v>
      </c>
      <c r="C4" t="s">
        <v>38</v>
      </c>
      <c r="D4" t="s">
        <v>39</v>
      </c>
      <c r="E4" t="s">
        <v>29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29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>
        <v>15</v>
      </c>
      <c r="W4">
        <v>2</v>
      </c>
      <c r="X4">
        <v>0</v>
      </c>
      <c r="Y4" t="s">
        <v>40</v>
      </c>
      <c r="Z4" s="1">
        <f>IF(Table1[[#This Row],[Participation]]="", "", ROUND(VALUE(SUBSTITUTE(Table1[[#This Row],[Participation]],"%",""))/20,2))</f>
        <v>4.41</v>
      </c>
    </row>
    <row r="5" spans="1:26" x14ac:dyDescent="0.3">
      <c r="A5" t="s">
        <v>41</v>
      </c>
      <c r="B5" t="s">
        <v>42</v>
      </c>
      <c r="C5" t="s">
        <v>27</v>
      </c>
      <c r="D5" t="s">
        <v>43</v>
      </c>
      <c r="E5" t="s">
        <v>29</v>
      </c>
      <c r="F5" t="s">
        <v>30</v>
      </c>
      <c r="G5" t="s">
        <v>29</v>
      </c>
      <c r="H5" t="s">
        <v>29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>
        <v>14</v>
      </c>
      <c r="W5">
        <v>3</v>
      </c>
      <c r="X5">
        <v>0</v>
      </c>
      <c r="Y5" t="s">
        <v>44</v>
      </c>
      <c r="Z5" s="1">
        <f>IF(Table1[[#This Row],[Participation]]="", "", ROUND(VALUE(SUBSTITUTE(Table1[[#This Row],[Participation]],"%",""))/20,2))</f>
        <v>4.12</v>
      </c>
    </row>
    <row r="6" spans="1:26" x14ac:dyDescent="0.3">
      <c r="A6" t="s">
        <v>45</v>
      </c>
      <c r="B6" t="s">
        <v>46</v>
      </c>
      <c r="C6" t="s">
        <v>38</v>
      </c>
      <c r="D6" t="s">
        <v>47</v>
      </c>
      <c r="E6" t="s">
        <v>29</v>
      </c>
      <c r="F6" t="s">
        <v>30</v>
      </c>
      <c r="G6" t="s">
        <v>30</v>
      </c>
      <c r="H6" t="s">
        <v>30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29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>
        <v>13</v>
      </c>
      <c r="W6">
        <v>4</v>
      </c>
      <c r="X6">
        <v>0</v>
      </c>
      <c r="Y6" t="s">
        <v>48</v>
      </c>
      <c r="Z6" s="1">
        <f>IF(Table1[[#This Row],[Participation]]="", "", ROUND(VALUE(SUBSTITUTE(Table1[[#This Row],[Participation]],"%",""))/20,2))</f>
        <v>3.82</v>
      </c>
    </row>
    <row r="7" spans="1:26" x14ac:dyDescent="0.3">
      <c r="A7" t="s">
        <v>49</v>
      </c>
      <c r="B7" t="s">
        <v>50</v>
      </c>
      <c r="C7" t="s">
        <v>38</v>
      </c>
      <c r="D7" t="s">
        <v>51</v>
      </c>
      <c r="E7" t="s">
        <v>29</v>
      </c>
      <c r="F7" t="s">
        <v>30</v>
      </c>
      <c r="G7" t="s">
        <v>30</v>
      </c>
      <c r="H7" t="s">
        <v>30</v>
      </c>
      <c r="I7" t="s">
        <v>30</v>
      </c>
      <c r="J7" t="s">
        <v>29</v>
      </c>
      <c r="K7" t="s">
        <v>30</v>
      </c>
      <c r="L7" t="s">
        <v>30</v>
      </c>
      <c r="M7" t="s">
        <v>29</v>
      </c>
      <c r="N7" t="s">
        <v>29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>
        <v>13</v>
      </c>
      <c r="W7">
        <v>4</v>
      </c>
      <c r="X7">
        <v>0</v>
      </c>
      <c r="Y7" t="s">
        <v>48</v>
      </c>
      <c r="Z7" s="1">
        <f>IF(Table1[[#This Row],[Participation]]="", "", ROUND(VALUE(SUBSTITUTE(Table1[[#This Row],[Participation]],"%",""))/20,2))</f>
        <v>3.82</v>
      </c>
    </row>
    <row r="8" spans="1:26" x14ac:dyDescent="0.3">
      <c r="A8" t="s">
        <v>52</v>
      </c>
      <c r="B8" t="s">
        <v>53</v>
      </c>
      <c r="C8" t="s">
        <v>27</v>
      </c>
      <c r="D8" t="s">
        <v>54</v>
      </c>
      <c r="E8" t="s">
        <v>29</v>
      </c>
      <c r="F8" t="s">
        <v>30</v>
      </c>
      <c r="G8" t="s">
        <v>29</v>
      </c>
      <c r="H8" t="s">
        <v>29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29</v>
      </c>
      <c r="P8" t="s">
        <v>29</v>
      </c>
      <c r="Q8" t="s">
        <v>30</v>
      </c>
      <c r="R8" t="s">
        <v>30</v>
      </c>
      <c r="S8" t="s">
        <v>30</v>
      </c>
      <c r="T8" t="s">
        <v>29</v>
      </c>
      <c r="U8" t="s">
        <v>29</v>
      </c>
      <c r="V8">
        <v>10</v>
      </c>
      <c r="W8">
        <v>7</v>
      </c>
      <c r="X8">
        <v>0</v>
      </c>
      <c r="Y8" t="s">
        <v>55</v>
      </c>
      <c r="Z8" s="1">
        <f>IF(Table1[[#This Row],[Participation]]="", "", ROUND(VALUE(SUBSTITUTE(Table1[[#This Row],[Participation]],"%",""))/20,2))</f>
        <v>2.94</v>
      </c>
    </row>
    <row r="9" spans="1:26" x14ac:dyDescent="0.3">
      <c r="A9" t="s">
        <v>56</v>
      </c>
      <c r="B9" t="s">
        <v>57</v>
      </c>
      <c r="C9" t="s">
        <v>27</v>
      </c>
      <c r="D9" t="s">
        <v>58</v>
      </c>
      <c r="E9" t="s">
        <v>30</v>
      </c>
      <c r="F9" t="s">
        <v>29</v>
      </c>
      <c r="G9" t="s">
        <v>30</v>
      </c>
      <c r="H9" t="s">
        <v>30</v>
      </c>
      <c r="I9" t="s">
        <v>29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29</v>
      </c>
      <c r="U9" t="s">
        <v>29</v>
      </c>
      <c r="V9">
        <v>13</v>
      </c>
      <c r="W9">
        <v>4</v>
      </c>
      <c r="X9">
        <v>0</v>
      </c>
      <c r="Y9" t="s">
        <v>48</v>
      </c>
      <c r="Z9" s="1">
        <f>IF(Table1[[#This Row],[Participation]]="", "", ROUND(VALUE(SUBSTITUTE(Table1[[#This Row],[Participation]],"%",""))/20,2))</f>
        <v>3.82</v>
      </c>
    </row>
    <row r="10" spans="1:26" x14ac:dyDescent="0.3">
      <c r="A10" t="s">
        <v>59</v>
      </c>
      <c r="B10" t="s">
        <v>60</v>
      </c>
      <c r="C10" t="s">
        <v>27</v>
      </c>
      <c r="D10" t="s">
        <v>61</v>
      </c>
      <c r="E10" t="s">
        <v>29</v>
      </c>
      <c r="F10" t="s">
        <v>29</v>
      </c>
      <c r="G10" t="s">
        <v>30</v>
      </c>
      <c r="H10" t="s">
        <v>30</v>
      </c>
      <c r="I10" t="s">
        <v>30</v>
      </c>
      <c r="J10" t="s">
        <v>30</v>
      </c>
      <c r="K10" t="s">
        <v>29</v>
      </c>
      <c r="L10" t="s">
        <v>29</v>
      </c>
      <c r="M10" t="s">
        <v>29</v>
      </c>
      <c r="N10" t="s">
        <v>29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>
        <v>11</v>
      </c>
      <c r="W10">
        <v>6</v>
      </c>
      <c r="X10">
        <v>0</v>
      </c>
      <c r="Y10" t="s">
        <v>35</v>
      </c>
      <c r="Z10" s="1">
        <f>IF(Table1[[#This Row],[Participation]]="", "", ROUND(VALUE(SUBSTITUTE(Table1[[#This Row],[Participation]],"%",""))/20,2))</f>
        <v>3.24</v>
      </c>
    </row>
    <row r="11" spans="1:26" x14ac:dyDescent="0.3">
      <c r="A11" t="s">
        <v>62</v>
      </c>
      <c r="B11" t="s">
        <v>63</v>
      </c>
      <c r="C11" t="s">
        <v>64</v>
      </c>
      <c r="D11" t="s">
        <v>65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29</v>
      </c>
      <c r="U11" t="s">
        <v>30</v>
      </c>
      <c r="V11">
        <v>6</v>
      </c>
      <c r="W11">
        <v>11</v>
      </c>
      <c r="X11">
        <v>0</v>
      </c>
      <c r="Y11" t="s">
        <v>66</v>
      </c>
      <c r="Z11" s="1">
        <f>IF(Table1[[#This Row],[Participation]]="", "", ROUND(VALUE(SUBSTITUTE(Table1[[#This Row],[Participation]],"%",""))/20,2))</f>
        <v>1.76</v>
      </c>
    </row>
    <row r="12" spans="1:26" x14ac:dyDescent="0.3">
      <c r="A12" t="s">
        <v>67</v>
      </c>
      <c r="B12" t="s">
        <v>68</v>
      </c>
      <c r="C12" t="s">
        <v>27</v>
      </c>
      <c r="D12" t="s">
        <v>69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29</v>
      </c>
      <c r="N12" t="s">
        <v>29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>
        <v>15</v>
      </c>
      <c r="W12">
        <v>2</v>
      </c>
      <c r="X12">
        <v>0</v>
      </c>
      <c r="Y12" t="s">
        <v>40</v>
      </c>
      <c r="Z12" s="1">
        <f>IF(Table1[[#This Row],[Participation]]="", "", ROUND(VALUE(SUBSTITUTE(Table1[[#This Row],[Participation]],"%",""))/20,2))</f>
        <v>4.41</v>
      </c>
    </row>
    <row r="13" spans="1:26" x14ac:dyDescent="0.3">
      <c r="A13" t="s">
        <v>70</v>
      </c>
      <c r="B13" t="s">
        <v>71</v>
      </c>
      <c r="C13" t="s">
        <v>27</v>
      </c>
      <c r="D13" t="s">
        <v>72</v>
      </c>
      <c r="E13" t="s">
        <v>29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29</v>
      </c>
      <c r="T13" t="s">
        <v>30</v>
      </c>
      <c r="U13" t="s">
        <v>30</v>
      </c>
      <c r="V13">
        <v>15</v>
      </c>
      <c r="W13">
        <v>2</v>
      </c>
      <c r="X13">
        <v>0</v>
      </c>
      <c r="Y13" t="s">
        <v>40</v>
      </c>
      <c r="Z13" s="1">
        <f>IF(Table1[[#This Row],[Participation]]="", "", ROUND(VALUE(SUBSTITUTE(Table1[[#This Row],[Participation]],"%",""))/20,2))</f>
        <v>4.41</v>
      </c>
    </row>
    <row r="14" spans="1:26" x14ac:dyDescent="0.3">
      <c r="A14" t="s">
        <v>73</v>
      </c>
      <c r="B14" t="s">
        <v>74</v>
      </c>
      <c r="C14" t="s">
        <v>27</v>
      </c>
      <c r="D14" t="s">
        <v>75</v>
      </c>
      <c r="E14" t="s">
        <v>29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29</v>
      </c>
      <c r="N14" t="s">
        <v>29</v>
      </c>
      <c r="O14" t="s">
        <v>30</v>
      </c>
      <c r="P14" t="s">
        <v>30</v>
      </c>
      <c r="Q14" t="s">
        <v>30</v>
      </c>
      <c r="R14" t="s">
        <v>30</v>
      </c>
      <c r="S14" t="s">
        <v>29</v>
      </c>
      <c r="T14" t="s">
        <v>30</v>
      </c>
      <c r="U14" t="s">
        <v>30</v>
      </c>
      <c r="V14">
        <v>13</v>
      </c>
      <c r="W14">
        <v>4</v>
      </c>
      <c r="X14">
        <v>0</v>
      </c>
      <c r="Y14" t="s">
        <v>48</v>
      </c>
      <c r="Z14" s="1">
        <f>IF(Table1[[#This Row],[Participation]]="", "", ROUND(VALUE(SUBSTITUTE(Table1[[#This Row],[Participation]],"%",""))/20,2))</f>
        <v>3.82</v>
      </c>
    </row>
    <row r="15" spans="1:26" x14ac:dyDescent="0.3">
      <c r="A15" t="s">
        <v>76</v>
      </c>
      <c r="B15" t="s">
        <v>77</v>
      </c>
      <c r="C15" t="s">
        <v>27</v>
      </c>
      <c r="D15" t="s">
        <v>78</v>
      </c>
      <c r="V15">
        <v>0</v>
      </c>
      <c r="W15">
        <v>0</v>
      </c>
      <c r="X15">
        <v>0</v>
      </c>
      <c r="Y15" t="s">
        <v>79</v>
      </c>
      <c r="Z15" s="1">
        <f>IF(Table1[[#This Row],[Participation]]="", "", ROUND(VALUE(SUBSTITUTE(Table1[[#This Row],[Participation]],"%",""))/20,2))</f>
        <v>0</v>
      </c>
    </row>
    <row r="16" spans="1:26" x14ac:dyDescent="0.3">
      <c r="A16" t="s">
        <v>80</v>
      </c>
      <c r="B16" t="s">
        <v>81</v>
      </c>
      <c r="C16" t="s">
        <v>64</v>
      </c>
      <c r="D16" t="s">
        <v>82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>
        <v>16</v>
      </c>
      <c r="W16">
        <v>1</v>
      </c>
      <c r="X16">
        <v>0</v>
      </c>
      <c r="Y16" t="s">
        <v>83</v>
      </c>
      <c r="Z16" s="1">
        <f>IF(Table1[[#This Row],[Participation]]="", "", ROUND(VALUE(SUBSTITUTE(Table1[[#This Row],[Participation]],"%",""))/20,2))</f>
        <v>4.71</v>
      </c>
    </row>
    <row r="17" spans="1:26" x14ac:dyDescent="0.3">
      <c r="A17" t="s">
        <v>84</v>
      </c>
      <c r="B17" t="s">
        <v>85</v>
      </c>
      <c r="C17" t="s">
        <v>64</v>
      </c>
      <c r="D17" t="s">
        <v>86</v>
      </c>
      <c r="E17" t="s">
        <v>29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>
        <v>16</v>
      </c>
      <c r="W17">
        <v>1</v>
      </c>
      <c r="X17">
        <v>0</v>
      </c>
      <c r="Y17" t="s">
        <v>83</v>
      </c>
      <c r="Z17" s="1">
        <f>IF(Table1[[#This Row],[Participation]]="", "", ROUND(VALUE(SUBSTITUTE(Table1[[#This Row],[Participation]],"%",""))/20,2))</f>
        <v>4.71</v>
      </c>
    </row>
    <row r="18" spans="1:26" x14ac:dyDescent="0.3">
      <c r="A18" t="s">
        <v>87</v>
      </c>
      <c r="B18" t="s">
        <v>88</v>
      </c>
      <c r="C18" t="s">
        <v>64</v>
      </c>
      <c r="D18" t="s">
        <v>89</v>
      </c>
      <c r="E18" t="s">
        <v>30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30</v>
      </c>
      <c r="N18" t="s">
        <v>30</v>
      </c>
      <c r="O18" t="s">
        <v>30</v>
      </c>
      <c r="P18" t="s">
        <v>30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>
        <v>5</v>
      </c>
      <c r="W18">
        <v>12</v>
      </c>
      <c r="X18">
        <v>0</v>
      </c>
      <c r="Y18" t="s">
        <v>90</v>
      </c>
      <c r="Z18" s="1">
        <f>IF(Table1[[#This Row],[Participation]]="", "", ROUND(VALUE(SUBSTITUTE(Table1[[#This Row],[Participation]],"%",""))/20,2))</f>
        <v>1.47</v>
      </c>
    </row>
    <row r="19" spans="1:26" x14ac:dyDescent="0.3">
      <c r="A19" t="s">
        <v>91</v>
      </c>
      <c r="B19" t="s">
        <v>92</v>
      </c>
      <c r="C19" t="s">
        <v>27</v>
      </c>
      <c r="D19" t="s">
        <v>93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29</v>
      </c>
      <c r="V19">
        <v>16</v>
      </c>
      <c r="W19">
        <v>1</v>
      </c>
      <c r="X19">
        <v>0</v>
      </c>
      <c r="Y19" t="s">
        <v>83</v>
      </c>
      <c r="Z19" s="1">
        <f>IF(Table1[[#This Row],[Participation]]="", "", ROUND(VALUE(SUBSTITUTE(Table1[[#This Row],[Participation]],"%",""))/20,2))</f>
        <v>4.71</v>
      </c>
    </row>
    <row r="20" spans="1:26" x14ac:dyDescent="0.3">
      <c r="A20" t="s">
        <v>94</v>
      </c>
      <c r="B20" t="s">
        <v>95</v>
      </c>
      <c r="C20" t="s">
        <v>96</v>
      </c>
      <c r="D20" t="s">
        <v>97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29</v>
      </c>
      <c r="K20" t="s">
        <v>30</v>
      </c>
      <c r="L20" t="s">
        <v>29</v>
      </c>
      <c r="M20" t="s">
        <v>30</v>
      </c>
      <c r="N20" t="s">
        <v>30</v>
      </c>
      <c r="O20" t="s">
        <v>29</v>
      </c>
      <c r="P20" t="s">
        <v>29</v>
      </c>
      <c r="Q20" t="s">
        <v>30</v>
      </c>
      <c r="R20" t="s">
        <v>29</v>
      </c>
      <c r="S20" t="s">
        <v>30</v>
      </c>
      <c r="T20" t="s">
        <v>30</v>
      </c>
      <c r="U20" t="s">
        <v>30</v>
      </c>
      <c r="V20">
        <v>12</v>
      </c>
      <c r="W20">
        <v>5</v>
      </c>
      <c r="X20">
        <v>0</v>
      </c>
      <c r="Y20" t="s">
        <v>98</v>
      </c>
      <c r="Z20" s="1">
        <f>IF(Table1[[#This Row],[Participation]]="", "", ROUND(VALUE(SUBSTITUTE(Table1[[#This Row],[Participation]],"%",""))/20,2))</f>
        <v>3.53</v>
      </c>
    </row>
    <row r="21" spans="1:26" x14ac:dyDescent="0.3">
      <c r="A21" t="s">
        <v>99</v>
      </c>
      <c r="B21" t="s">
        <v>100</v>
      </c>
      <c r="C21" t="s">
        <v>27</v>
      </c>
      <c r="D21" t="s">
        <v>101</v>
      </c>
      <c r="E21" t="s">
        <v>29</v>
      </c>
      <c r="F21" t="s">
        <v>29</v>
      </c>
      <c r="G21" t="s">
        <v>30</v>
      </c>
      <c r="H21" t="s">
        <v>30</v>
      </c>
      <c r="I21" t="s">
        <v>29</v>
      </c>
      <c r="J21" t="s">
        <v>29</v>
      </c>
      <c r="K21" t="s">
        <v>29</v>
      </c>
      <c r="L21" t="s">
        <v>29</v>
      </c>
      <c r="M21" t="s">
        <v>30</v>
      </c>
      <c r="N21" t="s">
        <v>29</v>
      </c>
      <c r="O21" t="s">
        <v>30</v>
      </c>
      <c r="P21" t="s">
        <v>30</v>
      </c>
      <c r="Q21" t="s">
        <v>30</v>
      </c>
      <c r="R21" t="s">
        <v>30</v>
      </c>
      <c r="S21" t="s">
        <v>29</v>
      </c>
      <c r="T21" t="s">
        <v>30</v>
      </c>
      <c r="U21" t="s">
        <v>30</v>
      </c>
      <c r="V21">
        <v>9</v>
      </c>
      <c r="W21">
        <v>8</v>
      </c>
      <c r="X21">
        <v>0</v>
      </c>
      <c r="Y21" t="s">
        <v>102</v>
      </c>
      <c r="Z21" s="1">
        <f>IF(Table1[[#This Row],[Participation]]="", "", ROUND(VALUE(SUBSTITUTE(Table1[[#This Row],[Participation]],"%",""))/20,2))</f>
        <v>2.65</v>
      </c>
    </row>
    <row r="22" spans="1:26" x14ac:dyDescent="0.3">
      <c r="A22" t="s">
        <v>103</v>
      </c>
      <c r="B22" t="s">
        <v>104</v>
      </c>
      <c r="C22" t="s">
        <v>27</v>
      </c>
      <c r="D22" t="s">
        <v>105</v>
      </c>
      <c r="E22" t="s">
        <v>30</v>
      </c>
      <c r="F22" t="s">
        <v>30</v>
      </c>
      <c r="G22" t="s">
        <v>30</v>
      </c>
      <c r="H22" t="s">
        <v>29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29</v>
      </c>
      <c r="S22" t="s">
        <v>30</v>
      </c>
      <c r="T22" t="s">
        <v>29</v>
      </c>
      <c r="U22" t="s">
        <v>30</v>
      </c>
      <c r="V22">
        <v>14</v>
      </c>
      <c r="W22">
        <v>3</v>
      </c>
      <c r="X22">
        <v>0</v>
      </c>
      <c r="Y22" t="s">
        <v>44</v>
      </c>
      <c r="Z22" s="1">
        <f>IF(Table1[[#This Row],[Participation]]="", "", ROUND(VALUE(SUBSTITUTE(Table1[[#This Row],[Participation]],"%",""))/20,2))</f>
        <v>4.12</v>
      </c>
    </row>
    <row r="23" spans="1:26" x14ac:dyDescent="0.3">
      <c r="A23" t="s">
        <v>106</v>
      </c>
      <c r="B23" t="s">
        <v>107</v>
      </c>
      <c r="C23" t="s">
        <v>27</v>
      </c>
      <c r="D23" t="s">
        <v>108</v>
      </c>
      <c r="E23" t="s">
        <v>30</v>
      </c>
      <c r="F23" t="s">
        <v>30</v>
      </c>
      <c r="G23" t="s">
        <v>30</v>
      </c>
      <c r="H23" t="s">
        <v>30</v>
      </c>
      <c r="I23" t="s">
        <v>29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29</v>
      </c>
      <c r="U23" t="s">
        <v>29</v>
      </c>
      <c r="V23">
        <v>14</v>
      </c>
      <c r="W23">
        <v>3</v>
      </c>
      <c r="X23">
        <v>0</v>
      </c>
      <c r="Y23" t="s">
        <v>44</v>
      </c>
      <c r="Z23" s="1">
        <f>IF(Table1[[#This Row],[Participation]]="", "", ROUND(VALUE(SUBSTITUTE(Table1[[#This Row],[Participation]],"%",""))/20,2))</f>
        <v>4.12</v>
      </c>
    </row>
    <row r="24" spans="1:26" x14ac:dyDescent="0.3">
      <c r="A24" t="s">
        <v>109</v>
      </c>
      <c r="B24" t="s">
        <v>110</v>
      </c>
      <c r="C24" t="s">
        <v>64</v>
      </c>
      <c r="D24" t="s">
        <v>111</v>
      </c>
      <c r="E24" t="s">
        <v>29</v>
      </c>
      <c r="F24" t="s">
        <v>30</v>
      </c>
      <c r="G24" t="s">
        <v>30</v>
      </c>
      <c r="H24" t="s">
        <v>30</v>
      </c>
      <c r="I24" t="s">
        <v>30</v>
      </c>
      <c r="J24" t="s">
        <v>29</v>
      </c>
      <c r="K24" t="s">
        <v>30</v>
      </c>
      <c r="L24" t="s">
        <v>29</v>
      </c>
      <c r="M24" t="s">
        <v>30</v>
      </c>
      <c r="N24" t="s">
        <v>30</v>
      </c>
      <c r="O24" t="s">
        <v>29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>
        <v>13</v>
      </c>
      <c r="W24">
        <v>4</v>
      </c>
      <c r="X24">
        <v>0</v>
      </c>
      <c r="Y24" t="s">
        <v>48</v>
      </c>
      <c r="Z24" s="1">
        <f>IF(Table1[[#This Row],[Participation]]="", "", ROUND(VALUE(SUBSTITUTE(Table1[[#This Row],[Participation]],"%",""))/20,2))</f>
        <v>3.82</v>
      </c>
    </row>
    <row r="25" spans="1:26" x14ac:dyDescent="0.3">
      <c r="A25" t="s">
        <v>112</v>
      </c>
      <c r="B25" t="s">
        <v>113</v>
      </c>
      <c r="C25" t="s">
        <v>64</v>
      </c>
      <c r="D25" t="s">
        <v>114</v>
      </c>
      <c r="E25" t="s">
        <v>29</v>
      </c>
      <c r="F25" t="s">
        <v>30</v>
      </c>
      <c r="G25" t="s">
        <v>30</v>
      </c>
      <c r="H25" t="s">
        <v>30</v>
      </c>
      <c r="I25" t="s">
        <v>29</v>
      </c>
      <c r="J25" t="s">
        <v>29</v>
      </c>
      <c r="K25" t="s">
        <v>29</v>
      </c>
      <c r="L25" t="s">
        <v>29</v>
      </c>
      <c r="M25" t="s">
        <v>30</v>
      </c>
      <c r="N25" t="s">
        <v>30</v>
      </c>
      <c r="O25" t="s">
        <v>29</v>
      </c>
      <c r="P25" t="s">
        <v>30</v>
      </c>
      <c r="Q25" t="s">
        <v>30</v>
      </c>
      <c r="R25" t="s">
        <v>30</v>
      </c>
      <c r="S25" t="s">
        <v>30</v>
      </c>
      <c r="T25" t="s">
        <v>29</v>
      </c>
      <c r="U25" t="s">
        <v>29</v>
      </c>
      <c r="V25">
        <v>9</v>
      </c>
      <c r="W25">
        <v>8</v>
      </c>
      <c r="X25">
        <v>0</v>
      </c>
      <c r="Y25" t="s">
        <v>102</v>
      </c>
      <c r="Z25" s="1">
        <f>IF(Table1[[#This Row],[Participation]]="", "", ROUND(VALUE(SUBSTITUTE(Table1[[#This Row],[Participation]],"%",""))/20,2))</f>
        <v>2.65</v>
      </c>
    </row>
    <row r="26" spans="1:26" x14ac:dyDescent="0.3">
      <c r="A26" t="s">
        <v>115</v>
      </c>
      <c r="B26" t="s">
        <v>116</v>
      </c>
      <c r="C26" t="s">
        <v>27</v>
      </c>
      <c r="D26" t="s">
        <v>117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29</v>
      </c>
      <c r="L26" t="s">
        <v>29</v>
      </c>
      <c r="M26" t="s">
        <v>30</v>
      </c>
      <c r="N26" t="s">
        <v>29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>
        <v>14</v>
      </c>
      <c r="W26">
        <v>3</v>
      </c>
      <c r="X26">
        <v>0</v>
      </c>
      <c r="Y26" t="s">
        <v>44</v>
      </c>
      <c r="Z26" s="1">
        <f>IF(Table1[[#This Row],[Participation]]="", "", ROUND(VALUE(SUBSTITUTE(Table1[[#This Row],[Participation]],"%",""))/20,2))</f>
        <v>4.12</v>
      </c>
    </row>
    <row r="27" spans="1:26" x14ac:dyDescent="0.3">
      <c r="A27" t="s">
        <v>118</v>
      </c>
      <c r="B27" t="s">
        <v>119</v>
      </c>
      <c r="C27" t="s">
        <v>27</v>
      </c>
      <c r="D27" t="s">
        <v>120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>
        <v>0</v>
      </c>
      <c r="W27">
        <v>17</v>
      </c>
      <c r="X27">
        <v>0</v>
      </c>
      <c r="Y27" t="s">
        <v>79</v>
      </c>
      <c r="Z27" s="1">
        <f>IF(Table1[[#This Row],[Participation]]="", "", ROUND(VALUE(SUBSTITUTE(Table1[[#This Row],[Participation]],"%",""))/20,2))</f>
        <v>0</v>
      </c>
    </row>
    <row r="28" spans="1:26" x14ac:dyDescent="0.3">
      <c r="A28" t="s">
        <v>121</v>
      </c>
      <c r="B28" t="s">
        <v>122</v>
      </c>
      <c r="C28" t="s">
        <v>27</v>
      </c>
      <c r="D28" t="s">
        <v>123</v>
      </c>
      <c r="E28" t="s">
        <v>29</v>
      </c>
      <c r="F28" t="s">
        <v>29</v>
      </c>
      <c r="G28" t="s">
        <v>30</v>
      </c>
      <c r="H28" t="s">
        <v>30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>
        <v>9</v>
      </c>
      <c r="W28">
        <v>8</v>
      </c>
      <c r="X28">
        <v>0</v>
      </c>
      <c r="Y28" t="s">
        <v>102</v>
      </c>
      <c r="Z28" s="1">
        <f>IF(Table1[[#This Row],[Participation]]="", "", ROUND(VALUE(SUBSTITUTE(Table1[[#This Row],[Participation]],"%",""))/20,2))</f>
        <v>2.65</v>
      </c>
    </row>
    <row r="29" spans="1:26" x14ac:dyDescent="0.3">
      <c r="A29" t="s">
        <v>124</v>
      </c>
      <c r="B29" t="s">
        <v>125</v>
      </c>
      <c r="C29" t="s">
        <v>27</v>
      </c>
      <c r="D29" t="s">
        <v>126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29</v>
      </c>
      <c r="S29" t="s">
        <v>30</v>
      </c>
      <c r="T29" t="s">
        <v>30</v>
      </c>
      <c r="U29" t="s">
        <v>29</v>
      </c>
      <c r="V29">
        <v>15</v>
      </c>
      <c r="W29">
        <v>2</v>
      </c>
      <c r="X29">
        <v>0</v>
      </c>
      <c r="Y29" t="s">
        <v>40</v>
      </c>
      <c r="Z29" s="1">
        <f>IF(Table1[[#This Row],[Participation]]="", "", ROUND(VALUE(SUBSTITUTE(Table1[[#This Row],[Participation]],"%",""))/20,2))</f>
        <v>4.41</v>
      </c>
    </row>
    <row r="30" spans="1:26" x14ac:dyDescent="0.3">
      <c r="D30" t="s">
        <v>21</v>
      </c>
      <c r="E30" t="s">
        <v>127</v>
      </c>
      <c r="F30" t="s">
        <v>128</v>
      </c>
      <c r="G30" t="s">
        <v>129</v>
      </c>
      <c r="H30" t="s">
        <v>130</v>
      </c>
      <c r="I30" t="s">
        <v>128</v>
      </c>
      <c r="J30" t="s">
        <v>131</v>
      </c>
      <c r="K30" t="s">
        <v>128</v>
      </c>
      <c r="L30" t="s">
        <v>131</v>
      </c>
      <c r="M30" t="s">
        <v>130</v>
      </c>
      <c r="N30" t="s">
        <v>128</v>
      </c>
      <c r="O30" t="s">
        <v>130</v>
      </c>
      <c r="P30" t="s">
        <v>132</v>
      </c>
      <c r="Q30" t="s">
        <v>133</v>
      </c>
      <c r="R30" t="s">
        <v>129</v>
      </c>
      <c r="S30" t="s">
        <v>132</v>
      </c>
      <c r="T30" t="s">
        <v>128</v>
      </c>
      <c r="U30" t="s">
        <v>128</v>
      </c>
      <c r="Z30" s="1" t="str">
        <f>IF(Table1[[#This Row],[Participation]]="", "", ROUND(VALUE(SUBSTITUTE(Table1[[#This Row],[Participation]],"%",""))/20,2))</f>
        <v/>
      </c>
    </row>
    <row r="31" spans="1:26" x14ac:dyDescent="0.3">
      <c r="D31" t="s">
        <v>22</v>
      </c>
      <c r="E31" t="s">
        <v>134</v>
      </c>
      <c r="F31" t="s">
        <v>135</v>
      </c>
      <c r="G31" t="s">
        <v>136</v>
      </c>
      <c r="H31" t="s">
        <v>137</v>
      </c>
      <c r="I31" t="s">
        <v>135</v>
      </c>
      <c r="J31" t="s">
        <v>138</v>
      </c>
      <c r="K31" t="s">
        <v>135</v>
      </c>
      <c r="L31" t="s">
        <v>138</v>
      </c>
      <c r="M31" t="s">
        <v>137</v>
      </c>
      <c r="N31" t="s">
        <v>135</v>
      </c>
      <c r="O31" t="s">
        <v>137</v>
      </c>
      <c r="P31" t="s">
        <v>139</v>
      </c>
      <c r="Q31" t="s">
        <v>140</v>
      </c>
      <c r="R31" t="s">
        <v>136</v>
      </c>
      <c r="S31" t="s">
        <v>139</v>
      </c>
      <c r="T31" t="s">
        <v>135</v>
      </c>
      <c r="U31" t="s">
        <v>135</v>
      </c>
      <c r="Z31" s="1" t="str">
        <f>IF(Table1[[#This Row],[Participation]]="", "", ROUND(VALUE(SUBSTITUTE(Table1[[#This Row],[Participation]],"%",""))/20,2))</f>
        <v/>
      </c>
    </row>
    <row r="32" spans="1:26" x14ac:dyDescent="0.3">
      <c r="D32" t="s">
        <v>23</v>
      </c>
      <c r="E32" t="s">
        <v>141</v>
      </c>
      <c r="F32" t="s">
        <v>141</v>
      </c>
      <c r="G32" t="s">
        <v>141</v>
      </c>
      <c r="H32" t="s">
        <v>141</v>
      </c>
      <c r="I32" t="s">
        <v>141</v>
      </c>
      <c r="J32" t="s">
        <v>141</v>
      </c>
      <c r="K32" t="s">
        <v>141</v>
      </c>
      <c r="L32" t="s">
        <v>141</v>
      </c>
      <c r="M32" t="s">
        <v>141</v>
      </c>
      <c r="N32" t="s">
        <v>141</v>
      </c>
      <c r="O32" t="s">
        <v>141</v>
      </c>
      <c r="P32" t="s">
        <v>141</v>
      </c>
      <c r="Q32" t="s">
        <v>141</v>
      </c>
      <c r="R32" t="s">
        <v>141</v>
      </c>
      <c r="S32" t="s">
        <v>141</v>
      </c>
      <c r="T32" t="s">
        <v>141</v>
      </c>
      <c r="U32" t="s">
        <v>141</v>
      </c>
      <c r="Z32" s="1" t="str">
        <f>IF(Table1[[#This Row],[Participation]]="", "", ROUND(VALUE(SUBSTITUTE(Table1[[#This Row],[Participation]],"%",""))/20,2))</f>
        <v/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PSIR172 01 2024-25 2 Teorik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2025-06-30T08:05:01Z</dcterms:created>
  <dcterms:modified xsi:type="dcterms:W3CDTF">2025-06-30T08:14:31Z</dcterms:modified>
</cp:coreProperties>
</file>