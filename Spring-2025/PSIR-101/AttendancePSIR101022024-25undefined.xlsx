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Other computers\My Laptop (1)\Work\Work 2\EMU\Courses\PSIR 101\PSIR 101, Spring 2025\"/>
    </mc:Choice>
  </mc:AlternateContent>
  <xr:revisionPtr revIDLastSave="0" documentId="8_{DFE4FFEE-D3AE-4F2D-9D98-AB88C644FC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IR101 02 2024-25 2 Teori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2" l="1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2" i="2"/>
</calcChain>
</file>

<file path=xl/sharedStrings.xml><?xml version="1.0" encoding="utf-8"?>
<sst xmlns="http://schemas.openxmlformats.org/spreadsheetml/2006/main" count="1462" uniqueCount="215">
  <si>
    <t>Name</t>
  </si>
  <si>
    <t>Surname</t>
  </si>
  <si>
    <t>Bolum</t>
  </si>
  <si>
    <t>Student Number</t>
  </si>
  <si>
    <t>24.02.2025 10:30-11:20 (Theoretical)</t>
  </si>
  <si>
    <t>25.02.2025 14:30-15:20 (Theoretical)</t>
  </si>
  <si>
    <t>03.03.2025 10:30-11:20 (Theoretical)</t>
  </si>
  <si>
    <t>03.03.2025 11:30-12:20 (Theoretical)</t>
  </si>
  <si>
    <t>04.03.2025 14:30-15:20 (Theoretical)</t>
  </si>
  <si>
    <t>10.03.2025 10:30-11:20 (Theoretical)</t>
  </si>
  <si>
    <t>10.03.2025 11:30-12:20 (Theoretical)</t>
  </si>
  <si>
    <t>11.03.2025 14:30-15:20 (Theoretical)</t>
  </si>
  <si>
    <t>17.03.2025 10:30-11:20 (Theoretical)</t>
  </si>
  <si>
    <t>17.03.2025 11:30-12:20 (Theoretical)</t>
  </si>
  <si>
    <t>18.03.2025 14:30-15:20 (Theoretical)</t>
  </si>
  <si>
    <t>24.03.2025 10:30-11:20 (Theoretical)</t>
  </si>
  <si>
    <t>24.03.2025 11:30-12:20 (Theoretical)</t>
  </si>
  <si>
    <t>25.03.2025 14:30-15:20 (Theoretical)</t>
  </si>
  <si>
    <t>07.04.2025 10:30-11:20 (Theoretical)</t>
  </si>
  <si>
    <t>07.04.2025 11:30-12:20 (Theoretical)</t>
  </si>
  <si>
    <t>08.04.2025 14:30-15:20 (Theoretical)</t>
  </si>
  <si>
    <t>28.04.2025 10:30-11:20 (Theoretical)</t>
  </si>
  <si>
    <t>28.04.2025 11:30-12:20 (Theoretical)</t>
  </si>
  <si>
    <t>29.04.2025 14:30-15:20 (Theoretical)</t>
  </si>
  <si>
    <t>05.05.2025 10:30-11:20 (Theoretical)</t>
  </si>
  <si>
    <t>06.05.2025 14:30-15:20 (Theoretical)</t>
  </si>
  <si>
    <t>12.05.2025 10:30-11:20 (Theoretical)</t>
  </si>
  <si>
    <t>12.05.2025 11:30-12:20 (Theoretical)</t>
  </si>
  <si>
    <t>13.05.2025 14:30-15:20 (Theoretical)</t>
  </si>
  <si>
    <t>20.05.2025 14:30-15:20 (Theoretical)</t>
  </si>
  <si>
    <t>26.05.2025 10:30-11:20 (Theoretical)</t>
  </si>
  <si>
    <t>26.05.2025 11:30-12:20 (Theoretical)</t>
  </si>
  <si>
    <t>27.05.2025 14:30-15:20 (Theoretical)</t>
  </si>
  <si>
    <t>02.06.2025 10:30-11:20 (Theoretical)</t>
  </si>
  <si>
    <t>Total Present</t>
  </si>
  <si>
    <t>Total Absent</t>
  </si>
  <si>
    <t>Total Excused</t>
  </si>
  <si>
    <t>Participation</t>
  </si>
  <si>
    <t>AYDANUR</t>
  </si>
  <si>
    <t>KARASU</t>
  </si>
  <si>
    <t>EKONOMİ</t>
  </si>
  <si>
    <t>21001503</t>
  </si>
  <si>
    <t>P</t>
  </si>
  <si>
    <t>100%</t>
  </si>
  <si>
    <t>HÜSEYİN</t>
  </si>
  <si>
    <t>NURÇİN</t>
  </si>
  <si>
    <t>İŞLETME</t>
  </si>
  <si>
    <t>21330910</t>
  </si>
  <si>
    <t>A</t>
  </si>
  <si>
    <t>36.67%</t>
  </si>
  <si>
    <t>ULAŞ</t>
  </si>
  <si>
    <t>AL</t>
  </si>
  <si>
    <t>22000002</t>
  </si>
  <si>
    <t>16.67%</t>
  </si>
  <si>
    <t>EGEMEN</t>
  </si>
  <si>
    <t>DOĞRUEL</t>
  </si>
  <si>
    <t>ULUSLARARASI İLİŞKİLER</t>
  </si>
  <si>
    <t>22000036</t>
  </si>
  <si>
    <t>76.67%</t>
  </si>
  <si>
    <t>MUSTAFA BATUHAN</t>
  </si>
  <si>
    <t>ÇOŞKUN</t>
  </si>
  <si>
    <t>ULUSLARARASI TİCARET VE İŞLETMECİLİK</t>
  </si>
  <si>
    <t>22000054</t>
  </si>
  <si>
    <t>60%</t>
  </si>
  <si>
    <t>ALİHAN</t>
  </si>
  <si>
    <t>HANCI</t>
  </si>
  <si>
    <t>ULUSLARARASI FİNANS VE BANKACILIK</t>
  </si>
  <si>
    <t>22002385</t>
  </si>
  <si>
    <t>0%</t>
  </si>
  <si>
    <t>İNCİ</t>
  </si>
  <si>
    <t>ESENDAĞLI</t>
  </si>
  <si>
    <t>22331219</t>
  </si>
  <si>
    <t>E</t>
  </si>
  <si>
    <t>OMAR</t>
  </si>
  <si>
    <t>GHONAIM</t>
  </si>
  <si>
    <t>PAZARLAMA</t>
  </si>
  <si>
    <t>22901313</t>
  </si>
  <si>
    <t>GÖKDENİZ ERDEM</t>
  </si>
  <si>
    <t>TEKE</t>
  </si>
  <si>
    <t>23000023</t>
  </si>
  <si>
    <t>73.33%</t>
  </si>
  <si>
    <t>TÜRKER ABDÜLKADİR</t>
  </si>
  <si>
    <t>GÜNAY</t>
  </si>
  <si>
    <t>23000075</t>
  </si>
  <si>
    <t>50%</t>
  </si>
  <si>
    <t>NİDA</t>
  </si>
  <si>
    <t>GÜNER</t>
  </si>
  <si>
    <t>23000076</t>
  </si>
  <si>
    <t>66.67%</t>
  </si>
  <si>
    <t>BARIŞ</t>
  </si>
  <si>
    <t>HACIAYVAT</t>
  </si>
  <si>
    <t>SİYASET BİLİMİ</t>
  </si>
  <si>
    <t>23000125</t>
  </si>
  <si>
    <t>30%</t>
  </si>
  <si>
    <t>SİMGE</t>
  </si>
  <si>
    <t>PINAR</t>
  </si>
  <si>
    <t>23000127</t>
  </si>
  <si>
    <t>70%</t>
  </si>
  <si>
    <t>ARDA</t>
  </si>
  <si>
    <t>TAŞKINVARDAR</t>
  </si>
  <si>
    <t>23000158</t>
  </si>
  <si>
    <t>53.33%</t>
  </si>
  <si>
    <t>IRMAK</t>
  </si>
  <si>
    <t>GEYİK</t>
  </si>
  <si>
    <t>BANKACILIK VE SİGORTACILIK</t>
  </si>
  <si>
    <t>23000164</t>
  </si>
  <si>
    <t>MUHAMMET BUĞRA</t>
  </si>
  <si>
    <t>ARTUÇ</t>
  </si>
  <si>
    <t xml:space="preserve">FİNANS VE BANKACILIK </t>
  </si>
  <si>
    <t>23000174</t>
  </si>
  <si>
    <t>63.33%</t>
  </si>
  <si>
    <t>SONGÜL</t>
  </si>
  <si>
    <t>BOZOĞLU</t>
  </si>
  <si>
    <t>23000176</t>
  </si>
  <si>
    <t>96.67%</t>
  </si>
  <si>
    <t>EREL</t>
  </si>
  <si>
    <t>AKTAŞ</t>
  </si>
  <si>
    <t>23000182</t>
  </si>
  <si>
    <t>86.67%</t>
  </si>
  <si>
    <t>ECE</t>
  </si>
  <si>
    <t>KESER</t>
  </si>
  <si>
    <t>23330276</t>
  </si>
  <si>
    <t>JESSIE</t>
  </si>
  <si>
    <t>PANCHOLI</t>
  </si>
  <si>
    <t>YAZILIM MÜHENDİSLİĞİ</t>
  </si>
  <si>
    <t>23331354</t>
  </si>
  <si>
    <t>BARAN</t>
  </si>
  <si>
    <t>KÜÇÜKYÖRÜK</t>
  </si>
  <si>
    <t>23331554</t>
  </si>
  <si>
    <t>90%</t>
  </si>
  <si>
    <t>MARCUS MARLEY</t>
  </si>
  <si>
    <t>KETTLE</t>
  </si>
  <si>
    <t>23700152</t>
  </si>
  <si>
    <t>20%</t>
  </si>
  <si>
    <t>MUSA ELTOUM MUSA</t>
  </si>
  <si>
    <t>IBRAHIM</t>
  </si>
  <si>
    <t>MAKİNE MÜHENDİSLİĞİ</t>
  </si>
  <si>
    <t>23700537</t>
  </si>
  <si>
    <t>HASAN MOHAMED ABDULLA</t>
  </si>
  <si>
    <t>ALTAYEB</t>
  </si>
  <si>
    <t>23703026</t>
  </si>
  <si>
    <t>ARSHIA</t>
  </si>
  <si>
    <t>ZARELAVASANI</t>
  </si>
  <si>
    <t>23703740</t>
  </si>
  <si>
    <t>83.33%</t>
  </si>
  <si>
    <t>JEMAL BAHA</t>
  </si>
  <si>
    <t>YAHYA</t>
  </si>
  <si>
    <t>23705665</t>
  </si>
  <si>
    <t>23.33%</t>
  </si>
  <si>
    <t>ÖZER CENK</t>
  </si>
  <si>
    <t>KÜLEKCİ</t>
  </si>
  <si>
    <t>24000017</t>
  </si>
  <si>
    <t>HASAN TOLGA</t>
  </si>
  <si>
    <t>DOĞAN</t>
  </si>
  <si>
    <t>24000154</t>
  </si>
  <si>
    <t>EYÜPHAN</t>
  </si>
  <si>
    <t>KAYACIK</t>
  </si>
  <si>
    <t>24000176</t>
  </si>
  <si>
    <t>MEHMET YASİN</t>
  </si>
  <si>
    <t>DOLĞUN</t>
  </si>
  <si>
    <t>24450101</t>
  </si>
  <si>
    <t>93.33%</t>
  </si>
  <si>
    <t>BARAN ERKAN</t>
  </si>
  <si>
    <t>ÇİL</t>
  </si>
  <si>
    <t>24450112</t>
  </si>
  <si>
    <t>LAÇİN</t>
  </si>
  <si>
    <t>BOZKURT</t>
  </si>
  <si>
    <t>24450169</t>
  </si>
  <si>
    <t>80%</t>
  </si>
  <si>
    <t xml:space="preserve">LETÍCIA AFIFA ADRIANO </t>
  </si>
  <si>
    <t>MENEZES</t>
  </si>
  <si>
    <t>24700890</t>
  </si>
  <si>
    <t>VIDA</t>
  </si>
  <si>
    <t>SOLTANI</t>
  </si>
  <si>
    <t>24701084</t>
  </si>
  <si>
    <t>NURBEK</t>
  </si>
  <si>
    <t>SARI</t>
  </si>
  <si>
    <t>24774058</t>
  </si>
  <si>
    <t>LIZZY</t>
  </si>
  <si>
    <t>DAUSSE</t>
  </si>
  <si>
    <t>24774213</t>
  </si>
  <si>
    <t xml:space="preserve">AIDANA </t>
  </si>
  <si>
    <t xml:space="preserve">OSSERBAY </t>
  </si>
  <si>
    <t>24775902</t>
  </si>
  <si>
    <t>40%</t>
  </si>
  <si>
    <t>SHIHAB</t>
  </si>
  <si>
    <t>ABASHAR</t>
  </si>
  <si>
    <t>24776883</t>
  </si>
  <si>
    <t>19</t>
  </si>
  <si>
    <t>23</t>
  </si>
  <si>
    <t>28</t>
  </si>
  <si>
    <t>30</t>
  </si>
  <si>
    <t>27</t>
  </si>
  <si>
    <t>25</t>
  </si>
  <si>
    <t>24</t>
  </si>
  <si>
    <t>26</t>
  </si>
  <si>
    <t>29</t>
  </si>
  <si>
    <t>22</t>
  </si>
  <si>
    <t>18</t>
  </si>
  <si>
    <t>20</t>
  </si>
  <si>
    <t>21</t>
  </si>
  <si>
    <t>7</t>
  </si>
  <si>
    <t>14</t>
  </si>
  <si>
    <t>10</t>
  </si>
  <si>
    <t>8</t>
  </si>
  <si>
    <t>11</t>
  </si>
  <si>
    <t>13</t>
  </si>
  <si>
    <t>12</t>
  </si>
  <si>
    <t>9</t>
  </si>
  <si>
    <t>16</t>
  </si>
  <si>
    <t>15</t>
  </si>
  <si>
    <t>17</t>
  </si>
  <si>
    <t>1</t>
  </si>
  <si>
    <t>0</t>
  </si>
  <si>
    <t>Standardized Present (out of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</si>
</sst>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42" totalsRowShown="0">
  <autoFilter ref="A1:AM42" xr:uid="{00000000-0009-0000-0100-000001000000}"/>
  <tableColumns count="39">
    <tableColumn id="1" xr3:uid="{00000000-0010-0000-0000-000001000000}" name="Name"/>
    <tableColumn id="2" xr3:uid="{00000000-0010-0000-0000-000002000000}" name="Surname"/>
    <tableColumn id="3" xr3:uid="{00000000-0010-0000-0000-000003000000}" name="Bolum"/>
    <tableColumn id="4" xr3:uid="{00000000-0010-0000-0000-000004000000}" name="Student Number"/>
    <tableColumn id="5" xr3:uid="{00000000-0010-0000-0000-000005000000}" name="24.02.2025 10:30-11:20 (Theoretical)"/>
    <tableColumn id="6" xr3:uid="{00000000-0010-0000-0000-000006000000}" name="25.02.2025 14:30-15:20 (Theoretical)"/>
    <tableColumn id="7" xr3:uid="{00000000-0010-0000-0000-000007000000}" name="03.03.2025 10:30-11:20 (Theoretical)"/>
    <tableColumn id="8" xr3:uid="{00000000-0010-0000-0000-000008000000}" name="03.03.2025 11:30-12:20 (Theoretical)"/>
    <tableColumn id="9" xr3:uid="{00000000-0010-0000-0000-000009000000}" name="04.03.2025 14:30-15:20 (Theoretical)"/>
    <tableColumn id="10" xr3:uid="{00000000-0010-0000-0000-00000A000000}" name="10.03.2025 10:30-11:20 (Theoretical)"/>
    <tableColumn id="11" xr3:uid="{00000000-0010-0000-0000-00000B000000}" name="10.03.2025 11:30-12:20 (Theoretical)"/>
    <tableColumn id="12" xr3:uid="{00000000-0010-0000-0000-00000C000000}" name="11.03.2025 14:30-15:20 (Theoretical)"/>
    <tableColumn id="13" xr3:uid="{00000000-0010-0000-0000-00000D000000}" name="17.03.2025 10:30-11:20 (Theoretical)"/>
    <tableColumn id="14" xr3:uid="{00000000-0010-0000-0000-00000E000000}" name="17.03.2025 11:30-12:20 (Theoretical)"/>
    <tableColumn id="15" xr3:uid="{00000000-0010-0000-0000-00000F000000}" name="18.03.2025 14:30-15:20 (Theoretical)"/>
    <tableColumn id="16" xr3:uid="{00000000-0010-0000-0000-000010000000}" name="24.03.2025 10:30-11:20 (Theoretical)"/>
    <tableColumn id="17" xr3:uid="{00000000-0010-0000-0000-000011000000}" name="24.03.2025 11:30-12:20 (Theoretical)"/>
    <tableColumn id="18" xr3:uid="{00000000-0010-0000-0000-000012000000}" name="25.03.2025 14:30-15:20 (Theoretical)"/>
    <tableColumn id="19" xr3:uid="{00000000-0010-0000-0000-000013000000}" name="07.04.2025 10:30-11:20 (Theoretical)"/>
    <tableColumn id="20" xr3:uid="{00000000-0010-0000-0000-000014000000}" name="07.04.2025 11:30-12:20 (Theoretical)"/>
    <tableColumn id="21" xr3:uid="{00000000-0010-0000-0000-000015000000}" name="08.04.2025 14:30-15:20 (Theoretical)"/>
    <tableColumn id="22" xr3:uid="{00000000-0010-0000-0000-000016000000}" name="28.04.2025 10:30-11:20 (Theoretical)"/>
    <tableColumn id="23" xr3:uid="{00000000-0010-0000-0000-000017000000}" name="28.04.2025 11:30-12:20 (Theoretical)"/>
    <tableColumn id="24" xr3:uid="{00000000-0010-0000-0000-000018000000}" name="29.04.2025 14:30-15:20 (Theoretical)"/>
    <tableColumn id="25" xr3:uid="{00000000-0010-0000-0000-000019000000}" name="05.05.2025 10:30-11:20 (Theoretical)"/>
    <tableColumn id="26" xr3:uid="{00000000-0010-0000-0000-00001A000000}" name="06.05.2025 14:30-15:20 (Theoretical)"/>
    <tableColumn id="27" xr3:uid="{00000000-0010-0000-0000-00001B000000}" name="12.05.2025 10:30-11:20 (Theoretical)"/>
    <tableColumn id="28" xr3:uid="{00000000-0010-0000-0000-00001C000000}" name="12.05.2025 11:30-12:20 (Theoretical)"/>
    <tableColumn id="29" xr3:uid="{00000000-0010-0000-0000-00001D000000}" name="13.05.2025 14:30-15:20 (Theoretical)"/>
    <tableColumn id="30" xr3:uid="{00000000-0010-0000-0000-00001E000000}" name="20.05.2025 14:30-15:20 (Theoretical)"/>
    <tableColumn id="31" xr3:uid="{00000000-0010-0000-0000-00001F000000}" name="26.05.2025 10:30-11:20 (Theoretical)"/>
    <tableColumn id="32" xr3:uid="{00000000-0010-0000-0000-000020000000}" name="26.05.2025 11:30-12:20 (Theoretical)"/>
    <tableColumn id="33" xr3:uid="{00000000-0010-0000-0000-000021000000}" name="27.05.2025 14:30-15:20 (Theoretical)"/>
    <tableColumn id="34" xr3:uid="{00000000-0010-0000-0000-000022000000}" name="02.06.2025 10:30-11:20 (Theoretical)"/>
    <tableColumn id="35" xr3:uid="{00000000-0010-0000-0000-000023000000}" name="Total Present"/>
    <tableColumn id="36" xr3:uid="{00000000-0010-0000-0000-000024000000}" name="Total Absent"/>
    <tableColumn id="37" xr3:uid="{00000000-0010-0000-0000-000025000000}" name="Total Excused"/>
    <tableColumn id="38" xr3:uid="{00000000-0010-0000-0000-000026000000}" name="Participation"/>
    <tableColumn id="39" xr3:uid="{1166687E-D8D5-4C5A-BEDE-70DF95728FDA}" name="Standardized Present (out of 5)" dataDxfId="0">
      <calculatedColumnFormula>IF(ISNUMBER(Table1[[#This Row],[Total Present]]),Table1[[#This Row],[Total Present]]/6,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2"/>
  <sheetViews>
    <sheetView tabSelected="1" topLeftCell="AD1" workbookViewId="0">
      <selection activeCell="AM2" sqref="AM2"/>
    </sheetView>
  </sheetViews>
  <sheetFormatPr defaultRowHeight="14.4" x14ac:dyDescent="0.3"/>
  <cols>
    <col min="39" max="39" width="29.777343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214</v>
      </c>
    </row>
    <row r="2" spans="1:39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>
        <v>30</v>
      </c>
      <c r="AJ2">
        <v>0</v>
      </c>
      <c r="AK2">
        <v>0</v>
      </c>
      <c r="AL2" t="s">
        <v>43</v>
      </c>
      <c r="AM2" s="1">
        <f>IF(ISNUMBER(Table1[[#This Row],[Total Present]]),Table1[[#This Row],[Total Present]]/6, "")</f>
        <v>5</v>
      </c>
    </row>
    <row r="3" spans="1:39" x14ac:dyDescent="0.3">
      <c r="A3" t="s">
        <v>44</v>
      </c>
      <c r="B3" t="s">
        <v>45</v>
      </c>
      <c r="C3" t="s">
        <v>46</v>
      </c>
      <c r="D3" t="s">
        <v>47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48</v>
      </c>
      <c r="K3" t="s">
        <v>48</v>
      </c>
      <c r="L3" t="s">
        <v>42</v>
      </c>
      <c r="M3" t="s">
        <v>42</v>
      </c>
      <c r="N3" t="s">
        <v>48</v>
      </c>
      <c r="O3" t="s">
        <v>42</v>
      </c>
      <c r="P3" t="s">
        <v>42</v>
      </c>
      <c r="Q3" t="s">
        <v>48</v>
      </c>
      <c r="R3" t="s">
        <v>42</v>
      </c>
      <c r="S3" t="s">
        <v>48</v>
      </c>
      <c r="T3" t="s">
        <v>42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>
        <v>11</v>
      </c>
      <c r="AJ3">
        <v>19</v>
      </c>
      <c r="AK3">
        <v>0</v>
      </c>
      <c r="AL3" t="s">
        <v>49</v>
      </c>
      <c r="AM3" s="1">
        <f>IF(ISNUMBER(Table1[[#This Row],[Total Present]]),Table1[[#This Row],[Total Present]]/6, "")</f>
        <v>1.8333333333333333</v>
      </c>
    </row>
    <row r="4" spans="1:39" x14ac:dyDescent="0.3">
      <c r="A4" t="s">
        <v>50</v>
      </c>
      <c r="B4" t="s">
        <v>51</v>
      </c>
      <c r="C4" t="s">
        <v>46</v>
      </c>
      <c r="D4" t="s">
        <v>52</v>
      </c>
      <c r="E4" t="s">
        <v>48</v>
      </c>
      <c r="F4" t="s">
        <v>48</v>
      </c>
      <c r="G4" t="s">
        <v>42</v>
      </c>
      <c r="H4" t="s">
        <v>42</v>
      </c>
      <c r="I4" t="s">
        <v>48</v>
      </c>
      <c r="J4" t="s">
        <v>48</v>
      </c>
      <c r="K4" t="s">
        <v>48</v>
      </c>
      <c r="L4" t="s">
        <v>48</v>
      </c>
      <c r="M4" t="s">
        <v>42</v>
      </c>
      <c r="N4" t="s">
        <v>42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42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>
        <v>5</v>
      </c>
      <c r="AJ4">
        <v>25</v>
      </c>
      <c r="AK4">
        <v>0</v>
      </c>
      <c r="AL4" t="s">
        <v>53</v>
      </c>
      <c r="AM4" s="1">
        <f>IF(ISNUMBER(Table1[[#This Row],[Total Present]]),Table1[[#This Row],[Total Present]]/6, "")</f>
        <v>0.83333333333333337</v>
      </c>
    </row>
    <row r="5" spans="1:39" x14ac:dyDescent="0.3">
      <c r="A5" t="s">
        <v>54</v>
      </c>
      <c r="B5" t="s">
        <v>55</v>
      </c>
      <c r="C5" t="s">
        <v>56</v>
      </c>
      <c r="D5" t="s">
        <v>57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t="s">
        <v>48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48</v>
      </c>
      <c r="W5" t="s">
        <v>48</v>
      </c>
      <c r="X5" t="s">
        <v>48</v>
      </c>
      <c r="Y5" t="s">
        <v>42</v>
      </c>
      <c r="Z5" t="s">
        <v>42</v>
      </c>
      <c r="AA5" t="s">
        <v>42</v>
      </c>
      <c r="AB5" t="s">
        <v>42</v>
      </c>
      <c r="AC5" t="s">
        <v>48</v>
      </c>
      <c r="AD5" t="s">
        <v>42</v>
      </c>
      <c r="AE5" t="s">
        <v>42</v>
      </c>
      <c r="AF5" t="s">
        <v>42</v>
      </c>
      <c r="AG5" t="s">
        <v>48</v>
      </c>
      <c r="AH5" t="s">
        <v>48</v>
      </c>
      <c r="AI5">
        <v>23</v>
      </c>
      <c r="AJ5">
        <v>7</v>
      </c>
      <c r="AK5">
        <v>0</v>
      </c>
      <c r="AL5" t="s">
        <v>58</v>
      </c>
      <c r="AM5" s="1">
        <f>IF(ISNUMBER(Table1[[#This Row],[Total Present]]),Table1[[#This Row],[Total Present]]/6, "")</f>
        <v>3.8333333333333335</v>
      </c>
    </row>
    <row r="6" spans="1:39" x14ac:dyDescent="0.3">
      <c r="A6" t="s">
        <v>59</v>
      </c>
      <c r="B6" t="s">
        <v>60</v>
      </c>
      <c r="C6" t="s">
        <v>61</v>
      </c>
      <c r="D6" t="s">
        <v>62</v>
      </c>
      <c r="E6" t="s">
        <v>42</v>
      </c>
      <c r="F6" t="s">
        <v>42</v>
      </c>
      <c r="G6" t="s">
        <v>42</v>
      </c>
      <c r="H6" t="s">
        <v>48</v>
      </c>
      <c r="I6" t="s">
        <v>42</v>
      </c>
      <c r="J6" t="s">
        <v>42</v>
      </c>
      <c r="K6" t="s">
        <v>42</v>
      </c>
      <c r="L6" t="s">
        <v>42</v>
      </c>
      <c r="M6" t="s">
        <v>48</v>
      </c>
      <c r="N6" t="s">
        <v>48</v>
      </c>
      <c r="O6" t="s">
        <v>42</v>
      </c>
      <c r="P6" t="s">
        <v>42</v>
      </c>
      <c r="Q6" t="s">
        <v>42</v>
      </c>
      <c r="R6" t="s">
        <v>42</v>
      </c>
      <c r="S6" t="s">
        <v>48</v>
      </c>
      <c r="T6" t="s">
        <v>48</v>
      </c>
      <c r="U6" t="s">
        <v>42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42</v>
      </c>
      <c r="AB6" t="s">
        <v>42</v>
      </c>
      <c r="AC6" t="s">
        <v>48</v>
      </c>
      <c r="AD6" t="s">
        <v>42</v>
      </c>
      <c r="AE6" t="s">
        <v>42</v>
      </c>
      <c r="AF6" t="s">
        <v>42</v>
      </c>
      <c r="AG6" t="s">
        <v>42</v>
      </c>
      <c r="AH6" t="s">
        <v>48</v>
      </c>
      <c r="AI6">
        <v>18</v>
      </c>
      <c r="AJ6">
        <v>12</v>
      </c>
      <c r="AK6">
        <v>0</v>
      </c>
      <c r="AL6" t="s">
        <v>63</v>
      </c>
      <c r="AM6" s="1">
        <f>IF(ISNUMBER(Table1[[#This Row],[Total Present]]),Table1[[#This Row],[Total Present]]/6, "")</f>
        <v>3</v>
      </c>
    </row>
    <row r="7" spans="1:39" x14ac:dyDescent="0.3">
      <c r="A7" t="s">
        <v>64</v>
      </c>
      <c r="B7" t="s">
        <v>65</v>
      </c>
      <c r="C7" t="s">
        <v>66</v>
      </c>
      <c r="D7" t="s">
        <v>67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>
        <v>0</v>
      </c>
      <c r="AJ7">
        <v>30</v>
      </c>
      <c r="AK7">
        <v>0</v>
      </c>
      <c r="AL7" t="s">
        <v>68</v>
      </c>
      <c r="AM7" s="1">
        <f>IF(ISNUMBER(Table1[[#This Row],[Total Present]]),Table1[[#This Row],[Total Present]]/6, "")</f>
        <v>0</v>
      </c>
    </row>
    <row r="8" spans="1:39" x14ac:dyDescent="0.3">
      <c r="A8" t="s">
        <v>69</v>
      </c>
      <c r="B8" t="s">
        <v>70</v>
      </c>
      <c r="C8" t="s">
        <v>61</v>
      </c>
      <c r="D8" t="s">
        <v>71</v>
      </c>
      <c r="E8" t="s">
        <v>72</v>
      </c>
      <c r="F8" t="s">
        <v>48</v>
      </c>
      <c r="G8" t="s">
        <v>48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48</v>
      </c>
      <c r="N8" t="s">
        <v>48</v>
      </c>
      <c r="O8" t="s">
        <v>48</v>
      </c>
      <c r="P8" t="s">
        <v>42</v>
      </c>
      <c r="Q8" t="s">
        <v>42</v>
      </c>
      <c r="R8" t="s">
        <v>42</v>
      </c>
      <c r="S8" t="s">
        <v>48</v>
      </c>
      <c r="T8" t="s">
        <v>48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48</v>
      </c>
      <c r="AB8" t="s">
        <v>42</v>
      </c>
      <c r="AC8" t="s">
        <v>48</v>
      </c>
      <c r="AD8" t="s">
        <v>42</v>
      </c>
      <c r="AE8" t="s">
        <v>42</v>
      </c>
      <c r="AF8" t="s">
        <v>42</v>
      </c>
      <c r="AG8" t="s">
        <v>48</v>
      </c>
      <c r="AH8" t="s">
        <v>48</v>
      </c>
      <c r="AI8">
        <v>18</v>
      </c>
      <c r="AJ8">
        <v>11</v>
      </c>
      <c r="AK8">
        <v>1</v>
      </c>
      <c r="AL8" t="s">
        <v>63</v>
      </c>
      <c r="AM8" s="1">
        <f>IF(ISNUMBER(Table1[[#This Row],[Total Present]]),Table1[[#This Row],[Total Present]]/6, "")</f>
        <v>3</v>
      </c>
    </row>
    <row r="9" spans="1:39" x14ac:dyDescent="0.3">
      <c r="A9" t="s">
        <v>73</v>
      </c>
      <c r="B9" t="s">
        <v>74</v>
      </c>
      <c r="C9" t="s">
        <v>75</v>
      </c>
      <c r="D9" t="s">
        <v>76</v>
      </c>
      <c r="E9" t="s">
        <v>72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>
        <v>0</v>
      </c>
      <c r="AJ9">
        <v>29</v>
      </c>
      <c r="AK9">
        <v>1</v>
      </c>
      <c r="AL9" t="s">
        <v>68</v>
      </c>
      <c r="AM9" s="1">
        <f>IF(ISNUMBER(Table1[[#This Row],[Total Present]]),Table1[[#This Row],[Total Present]]/6, "")</f>
        <v>0</v>
      </c>
    </row>
    <row r="10" spans="1:39" x14ac:dyDescent="0.3">
      <c r="A10" t="s">
        <v>77</v>
      </c>
      <c r="B10" t="s">
        <v>78</v>
      </c>
      <c r="C10" t="s">
        <v>46</v>
      </c>
      <c r="D10" t="s">
        <v>79</v>
      </c>
      <c r="E10" t="s">
        <v>42</v>
      </c>
      <c r="F10" t="s">
        <v>42</v>
      </c>
      <c r="G10" t="s">
        <v>42</v>
      </c>
      <c r="H10" t="s">
        <v>42</v>
      </c>
      <c r="I10" t="s">
        <v>48</v>
      </c>
      <c r="J10" t="s">
        <v>42</v>
      </c>
      <c r="K10" t="s">
        <v>42</v>
      </c>
      <c r="L10" t="s">
        <v>42</v>
      </c>
      <c r="M10" t="s">
        <v>48</v>
      </c>
      <c r="N10" t="s">
        <v>48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48</v>
      </c>
      <c r="W10" t="s">
        <v>48</v>
      </c>
      <c r="X10" t="s">
        <v>42</v>
      </c>
      <c r="Y10" t="s">
        <v>48</v>
      </c>
      <c r="Z10" t="s">
        <v>48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48</v>
      </c>
      <c r="AH10" t="s">
        <v>42</v>
      </c>
      <c r="AI10">
        <v>22</v>
      </c>
      <c r="AJ10">
        <v>8</v>
      </c>
      <c r="AK10">
        <v>0</v>
      </c>
      <c r="AL10" t="s">
        <v>80</v>
      </c>
      <c r="AM10" s="1">
        <f>IF(ISNUMBER(Table1[[#This Row],[Total Present]]),Table1[[#This Row],[Total Present]]/6, "")</f>
        <v>3.6666666666666665</v>
      </c>
    </row>
    <row r="11" spans="1:39" x14ac:dyDescent="0.3">
      <c r="A11" t="s">
        <v>81</v>
      </c>
      <c r="B11" t="s">
        <v>82</v>
      </c>
      <c r="C11" t="s">
        <v>61</v>
      </c>
      <c r="D11" t="s">
        <v>83</v>
      </c>
      <c r="E11" t="s">
        <v>72</v>
      </c>
      <c r="F11" t="s">
        <v>48</v>
      </c>
      <c r="G11" t="s">
        <v>42</v>
      </c>
      <c r="H11" t="s">
        <v>42</v>
      </c>
      <c r="I11" t="s">
        <v>48</v>
      </c>
      <c r="J11" t="s">
        <v>42</v>
      </c>
      <c r="K11" t="s">
        <v>42</v>
      </c>
      <c r="L11" t="s">
        <v>48</v>
      </c>
      <c r="M11" t="s">
        <v>48</v>
      </c>
      <c r="N11" t="s">
        <v>48</v>
      </c>
      <c r="O11" t="s">
        <v>48</v>
      </c>
      <c r="P11" t="s">
        <v>42</v>
      </c>
      <c r="Q11" t="s">
        <v>48</v>
      </c>
      <c r="R11" t="s">
        <v>42</v>
      </c>
      <c r="S11" t="s">
        <v>48</v>
      </c>
      <c r="T11" t="s">
        <v>42</v>
      </c>
      <c r="U11" t="s">
        <v>42</v>
      </c>
      <c r="V11" t="s">
        <v>42</v>
      </c>
      <c r="W11" t="s">
        <v>48</v>
      </c>
      <c r="X11" t="s">
        <v>42</v>
      </c>
      <c r="Y11" t="s">
        <v>42</v>
      </c>
      <c r="Z11" t="s">
        <v>48</v>
      </c>
      <c r="AA11" t="s">
        <v>42</v>
      </c>
      <c r="AB11" t="s">
        <v>48</v>
      </c>
      <c r="AC11" t="s">
        <v>42</v>
      </c>
      <c r="AD11" t="s">
        <v>42</v>
      </c>
      <c r="AE11" t="s">
        <v>42</v>
      </c>
      <c r="AF11" t="s">
        <v>48</v>
      </c>
      <c r="AG11" t="s">
        <v>48</v>
      </c>
      <c r="AH11" t="s">
        <v>48</v>
      </c>
      <c r="AI11">
        <v>15</v>
      </c>
      <c r="AJ11">
        <v>14</v>
      </c>
      <c r="AK11">
        <v>1</v>
      </c>
      <c r="AL11" t="s">
        <v>84</v>
      </c>
      <c r="AM11" s="1">
        <f>IF(ISNUMBER(Table1[[#This Row],[Total Present]]),Table1[[#This Row],[Total Present]]/6, "")</f>
        <v>2.5</v>
      </c>
    </row>
    <row r="12" spans="1:39" x14ac:dyDescent="0.3">
      <c r="A12" t="s">
        <v>85</v>
      </c>
      <c r="B12" t="s">
        <v>86</v>
      </c>
      <c r="C12" t="s">
        <v>61</v>
      </c>
      <c r="D12" t="s">
        <v>87</v>
      </c>
      <c r="E12" t="s">
        <v>42</v>
      </c>
      <c r="F12" t="s">
        <v>42</v>
      </c>
      <c r="G12" t="s">
        <v>48</v>
      </c>
      <c r="H12" t="s">
        <v>48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48</v>
      </c>
      <c r="P12" t="s">
        <v>48</v>
      </c>
      <c r="Q12" t="s">
        <v>48</v>
      </c>
      <c r="R12" t="s">
        <v>42</v>
      </c>
      <c r="S12" t="s">
        <v>48</v>
      </c>
      <c r="T12" t="s">
        <v>48</v>
      </c>
      <c r="U12" t="s">
        <v>42</v>
      </c>
      <c r="V12" t="s">
        <v>48</v>
      </c>
      <c r="W12" t="s">
        <v>48</v>
      </c>
      <c r="X12" t="s">
        <v>42</v>
      </c>
      <c r="Y12" t="s">
        <v>42</v>
      </c>
      <c r="Z12" t="s">
        <v>42</v>
      </c>
      <c r="AA12" t="s">
        <v>42</v>
      </c>
      <c r="AB12" t="s">
        <v>48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>
        <v>20</v>
      </c>
      <c r="AJ12">
        <v>10</v>
      </c>
      <c r="AK12">
        <v>0</v>
      </c>
      <c r="AL12" t="s">
        <v>88</v>
      </c>
      <c r="AM12" s="1">
        <f>IF(ISNUMBER(Table1[[#This Row],[Total Present]]),Table1[[#This Row],[Total Present]]/6, "")</f>
        <v>3.3333333333333335</v>
      </c>
    </row>
    <row r="13" spans="1:39" x14ac:dyDescent="0.3">
      <c r="A13" t="s">
        <v>89</v>
      </c>
      <c r="B13" t="s">
        <v>90</v>
      </c>
      <c r="C13" t="s">
        <v>91</v>
      </c>
      <c r="D13" t="s">
        <v>92</v>
      </c>
      <c r="E13" t="s">
        <v>72</v>
      </c>
      <c r="F13" t="s">
        <v>48</v>
      </c>
      <c r="G13" t="s">
        <v>48</v>
      </c>
      <c r="H13" t="s">
        <v>42</v>
      </c>
      <c r="I13" t="s">
        <v>48</v>
      </c>
      <c r="J13" t="s">
        <v>42</v>
      </c>
      <c r="K13" t="s">
        <v>48</v>
      </c>
      <c r="L13" t="s">
        <v>42</v>
      </c>
      <c r="M13" t="s">
        <v>48</v>
      </c>
      <c r="N13" t="s">
        <v>48</v>
      </c>
      <c r="O13" t="s">
        <v>42</v>
      </c>
      <c r="P13" t="s">
        <v>48</v>
      </c>
      <c r="Q13" t="s">
        <v>42</v>
      </c>
      <c r="R13" t="s">
        <v>42</v>
      </c>
      <c r="S13" t="s">
        <v>42</v>
      </c>
      <c r="T13" t="s">
        <v>48</v>
      </c>
      <c r="U13" t="s">
        <v>42</v>
      </c>
      <c r="V13" t="s">
        <v>48</v>
      </c>
      <c r="W13" t="s">
        <v>48</v>
      </c>
      <c r="X13" t="s">
        <v>48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42</v>
      </c>
      <c r="AH13" t="s">
        <v>48</v>
      </c>
      <c r="AI13">
        <v>9</v>
      </c>
      <c r="AJ13">
        <v>20</v>
      </c>
      <c r="AK13">
        <v>1</v>
      </c>
      <c r="AL13" t="s">
        <v>93</v>
      </c>
      <c r="AM13" s="1">
        <f>IF(ISNUMBER(Table1[[#This Row],[Total Present]]),Table1[[#This Row],[Total Present]]/6, "")</f>
        <v>1.5</v>
      </c>
    </row>
    <row r="14" spans="1:39" x14ac:dyDescent="0.3">
      <c r="A14" t="s">
        <v>94</v>
      </c>
      <c r="B14" t="s">
        <v>95</v>
      </c>
      <c r="C14" t="s">
        <v>91</v>
      </c>
      <c r="D14" t="s">
        <v>96</v>
      </c>
      <c r="E14" t="s">
        <v>72</v>
      </c>
      <c r="F14" t="s">
        <v>48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48</v>
      </c>
      <c r="M14" t="s">
        <v>42</v>
      </c>
      <c r="N14" t="s">
        <v>42</v>
      </c>
      <c r="O14" t="s">
        <v>42</v>
      </c>
      <c r="P14" t="s">
        <v>48</v>
      </c>
      <c r="Q14" t="s">
        <v>48</v>
      </c>
      <c r="R14" t="s">
        <v>48</v>
      </c>
      <c r="S14" t="s">
        <v>42</v>
      </c>
      <c r="T14" t="s">
        <v>42</v>
      </c>
      <c r="U14" t="s">
        <v>42</v>
      </c>
      <c r="V14" t="s">
        <v>42</v>
      </c>
      <c r="W14" t="s">
        <v>48</v>
      </c>
      <c r="X14" t="s">
        <v>42</v>
      </c>
      <c r="Y14" t="s">
        <v>42</v>
      </c>
      <c r="Z14" t="s">
        <v>48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48</v>
      </c>
      <c r="AI14">
        <v>21</v>
      </c>
      <c r="AJ14">
        <v>8</v>
      </c>
      <c r="AK14">
        <v>1</v>
      </c>
      <c r="AL14" t="s">
        <v>97</v>
      </c>
      <c r="AM14" s="1">
        <f>IF(ISNUMBER(Table1[[#This Row],[Total Present]]),Table1[[#This Row],[Total Present]]/6, "")</f>
        <v>3.5</v>
      </c>
    </row>
    <row r="15" spans="1:39" x14ac:dyDescent="0.3">
      <c r="A15" t="s">
        <v>98</v>
      </c>
      <c r="B15" t="s">
        <v>99</v>
      </c>
      <c r="C15" t="s">
        <v>75</v>
      </c>
      <c r="D15" t="s">
        <v>100</v>
      </c>
      <c r="E15" t="s">
        <v>72</v>
      </c>
      <c r="F15" t="s">
        <v>48</v>
      </c>
      <c r="G15" t="s">
        <v>48</v>
      </c>
      <c r="H15" t="s">
        <v>48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42</v>
      </c>
      <c r="P15" t="s">
        <v>48</v>
      </c>
      <c r="Q15" t="s">
        <v>48</v>
      </c>
      <c r="R15" t="s">
        <v>42</v>
      </c>
      <c r="S15" t="s">
        <v>42</v>
      </c>
      <c r="T15" t="s">
        <v>42</v>
      </c>
      <c r="U15" t="s">
        <v>42</v>
      </c>
      <c r="V15" t="s">
        <v>48</v>
      </c>
      <c r="W15" t="s">
        <v>42</v>
      </c>
      <c r="X15" t="s">
        <v>42</v>
      </c>
      <c r="Y15" t="s">
        <v>42</v>
      </c>
      <c r="Z15" t="s">
        <v>48</v>
      </c>
      <c r="AA15" t="s">
        <v>42</v>
      </c>
      <c r="AB15" t="s">
        <v>48</v>
      </c>
      <c r="AC15" t="s">
        <v>48</v>
      </c>
      <c r="AD15" t="s">
        <v>48</v>
      </c>
      <c r="AE15" t="s">
        <v>42</v>
      </c>
      <c r="AF15" t="s">
        <v>48</v>
      </c>
      <c r="AG15" t="s">
        <v>48</v>
      </c>
      <c r="AH15" t="s">
        <v>48</v>
      </c>
      <c r="AI15">
        <v>16</v>
      </c>
      <c r="AJ15">
        <v>13</v>
      </c>
      <c r="AK15">
        <v>1</v>
      </c>
      <c r="AL15" t="s">
        <v>101</v>
      </c>
      <c r="AM15" s="1">
        <f>IF(ISNUMBER(Table1[[#This Row],[Total Present]]),Table1[[#This Row],[Total Present]]/6, "")</f>
        <v>2.6666666666666665</v>
      </c>
    </row>
    <row r="16" spans="1:39" x14ac:dyDescent="0.3">
      <c r="A16" t="s">
        <v>102</v>
      </c>
      <c r="B16" t="s">
        <v>103</v>
      </c>
      <c r="C16" t="s">
        <v>104</v>
      </c>
      <c r="D16" t="s">
        <v>105</v>
      </c>
      <c r="E16" t="s">
        <v>72</v>
      </c>
      <c r="F16" t="s">
        <v>48</v>
      </c>
      <c r="G16" t="s">
        <v>48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  <c r="M16" t="s">
        <v>48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48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>
        <v>20</v>
      </c>
      <c r="AJ16">
        <v>9</v>
      </c>
      <c r="AK16">
        <v>1</v>
      </c>
      <c r="AL16" t="s">
        <v>88</v>
      </c>
      <c r="AM16" s="1">
        <f>IF(ISNUMBER(Table1[[#This Row],[Total Present]]),Table1[[#This Row],[Total Present]]/6, "")</f>
        <v>3.3333333333333335</v>
      </c>
    </row>
    <row r="17" spans="1:39" x14ac:dyDescent="0.3">
      <c r="A17" t="s">
        <v>106</v>
      </c>
      <c r="B17" t="s">
        <v>107</v>
      </c>
      <c r="C17" t="s">
        <v>108</v>
      </c>
      <c r="D17" t="s">
        <v>109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  <c r="P17" t="s">
        <v>48</v>
      </c>
      <c r="Q17" t="s">
        <v>48</v>
      </c>
      <c r="R17" t="s">
        <v>42</v>
      </c>
      <c r="S17" t="s">
        <v>48</v>
      </c>
      <c r="T17" t="s">
        <v>42</v>
      </c>
      <c r="U17" t="s">
        <v>42</v>
      </c>
      <c r="V17" t="s">
        <v>48</v>
      </c>
      <c r="W17" t="s">
        <v>48</v>
      </c>
      <c r="X17" t="s">
        <v>48</v>
      </c>
      <c r="Y17" t="s">
        <v>48</v>
      </c>
      <c r="Z17" t="s">
        <v>42</v>
      </c>
      <c r="AA17" t="s">
        <v>42</v>
      </c>
      <c r="AB17" t="s">
        <v>42</v>
      </c>
      <c r="AC17" t="s">
        <v>42</v>
      </c>
      <c r="AD17" t="s">
        <v>48</v>
      </c>
      <c r="AE17" t="s">
        <v>48</v>
      </c>
      <c r="AF17" t="s">
        <v>48</v>
      </c>
      <c r="AG17" t="s">
        <v>48</v>
      </c>
      <c r="AH17" t="s">
        <v>42</v>
      </c>
      <c r="AI17">
        <v>19</v>
      </c>
      <c r="AJ17">
        <v>11</v>
      </c>
      <c r="AK17">
        <v>0</v>
      </c>
      <c r="AL17" t="s">
        <v>110</v>
      </c>
      <c r="AM17" s="1">
        <f>IF(ISNUMBER(Table1[[#This Row],[Total Present]]),Table1[[#This Row],[Total Present]]/6, "")</f>
        <v>3.1666666666666665</v>
      </c>
    </row>
    <row r="18" spans="1:39" x14ac:dyDescent="0.3">
      <c r="A18" t="s">
        <v>111</v>
      </c>
      <c r="B18" t="s">
        <v>112</v>
      </c>
      <c r="C18" t="s">
        <v>108</v>
      </c>
      <c r="D18" t="s">
        <v>113</v>
      </c>
      <c r="E18" t="s">
        <v>72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>
        <v>29</v>
      </c>
      <c r="AJ18">
        <v>0</v>
      </c>
      <c r="AK18">
        <v>1</v>
      </c>
      <c r="AL18" t="s">
        <v>114</v>
      </c>
      <c r="AM18" s="1">
        <f>IF(ISNUMBER(Table1[[#This Row],[Total Present]]),Table1[[#This Row],[Total Present]]/6, "")</f>
        <v>4.833333333333333</v>
      </c>
    </row>
    <row r="19" spans="1:39" x14ac:dyDescent="0.3">
      <c r="A19" t="s">
        <v>115</v>
      </c>
      <c r="B19" t="s">
        <v>116</v>
      </c>
      <c r="C19" t="s">
        <v>66</v>
      </c>
      <c r="D19" t="s">
        <v>117</v>
      </c>
      <c r="E19" t="s">
        <v>42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42</v>
      </c>
      <c r="L19" t="s">
        <v>42</v>
      </c>
      <c r="M19" t="s">
        <v>48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48</v>
      </c>
      <c r="AF19" t="s">
        <v>48</v>
      </c>
      <c r="AG19" t="s">
        <v>42</v>
      </c>
      <c r="AH19" t="s">
        <v>48</v>
      </c>
      <c r="AI19">
        <v>26</v>
      </c>
      <c r="AJ19">
        <v>4</v>
      </c>
      <c r="AK19">
        <v>0</v>
      </c>
      <c r="AL19" t="s">
        <v>118</v>
      </c>
      <c r="AM19" s="1">
        <f>IF(ISNUMBER(Table1[[#This Row],[Total Present]]),Table1[[#This Row],[Total Present]]/6, "")</f>
        <v>4.333333333333333</v>
      </c>
    </row>
    <row r="20" spans="1:39" x14ac:dyDescent="0.3">
      <c r="A20" t="s">
        <v>119</v>
      </c>
      <c r="B20" t="s">
        <v>120</v>
      </c>
      <c r="C20" t="s">
        <v>61</v>
      </c>
      <c r="D20" t="s">
        <v>121</v>
      </c>
      <c r="E20" t="s">
        <v>42</v>
      </c>
      <c r="F20" t="s">
        <v>48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>
        <v>29</v>
      </c>
      <c r="AJ20">
        <v>1</v>
      </c>
      <c r="AK20">
        <v>0</v>
      </c>
      <c r="AL20" t="s">
        <v>114</v>
      </c>
      <c r="AM20" s="1">
        <f>IF(ISNUMBER(Table1[[#This Row],[Total Present]]),Table1[[#This Row],[Total Present]]/6, "")</f>
        <v>4.833333333333333</v>
      </c>
    </row>
    <row r="21" spans="1:39" x14ac:dyDescent="0.3">
      <c r="A21" t="s">
        <v>122</v>
      </c>
      <c r="B21" t="s">
        <v>123</v>
      </c>
      <c r="C21" t="s">
        <v>124</v>
      </c>
      <c r="D21" t="s">
        <v>125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>
        <v>30</v>
      </c>
      <c r="AJ21">
        <v>0</v>
      </c>
      <c r="AK21">
        <v>0</v>
      </c>
      <c r="AL21" t="s">
        <v>43</v>
      </c>
      <c r="AM21" s="1">
        <f>IF(ISNUMBER(Table1[[#This Row],[Total Present]]),Table1[[#This Row],[Total Present]]/6, "")</f>
        <v>5</v>
      </c>
    </row>
    <row r="22" spans="1:39" x14ac:dyDescent="0.3">
      <c r="A22" t="s">
        <v>126</v>
      </c>
      <c r="B22" t="s">
        <v>127</v>
      </c>
      <c r="C22" t="s">
        <v>75</v>
      </c>
      <c r="D22" t="s">
        <v>128</v>
      </c>
      <c r="E22" t="s">
        <v>42</v>
      </c>
      <c r="F22" t="s">
        <v>48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 t="s">
        <v>42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48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48</v>
      </c>
      <c r="AG22" t="s">
        <v>42</v>
      </c>
      <c r="AH22" t="s">
        <v>42</v>
      </c>
      <c r="AI22">
        <v>27</v>
      </c>
      <c r="AJ22">
        <v>3</v>
      </c>
      <c r="AK22">
        <v>0</v>
      </c>
      <c r="AL22" t="s">
        <v>129</v>
      </c>
      <c r="AM22" s="1">
        <f>IF(ISNUMBER(Table1[[#This Row],[Total Present]]),Table1[[#This Row],[Total Present]]/6, "")</f>
        <v>4.5</v>
      </c>
    </row>
    <row r="23" spans="1:39" x14ac:dyDescent="0.3">
      <c r="A23" t="s">
        <v>130</v>
      </c>
      <c r="B23" t="s">
        <v>131</v>
      </c>
      <c r="C23" t="s">
        <v>46</v>
      </c>
      <c r="D23" t="s">
        <v>132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48</v>
      </c>
      <c r="Q23" t="s">
        <v>42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s">
        <v>48</v>
      </c>
      <c r="AI23">
        <v>6</v>
      </c>
      <c r="AJ23">
        <v>24</v>
      </c>
      <c r="AK23">
        <v>0</v>
      </c>
      <c r="AL23" t="s">
        <v>133</v>
      </c>
      <c r="AM23" s="1">
        <f>IF(ISNUMBER(Table1[[#This Row],[Total Present]]),Table1[[#This Row],[Total Present]]/6, "")</f>
        <v>1</v>
      </c>
    </row>
    <row r="24" spans="1:39" x14ac:dyDescent="0.3">
      <c r="A24" t="s">
        <v>134</v>
      </c>
      <c r="B24" t="s">
        <v>135</v>
      </c>
      <c r="C24" t="s">
        <v>136</v>
      </c>
      <c r="D24" t="s">
        <v>137</v>
      </c>
      <c r="E24" t="s">
        <v>48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48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48</v>
      </c>
      <c r="AE24" t="s">
        <v>42</v>
      </c>
      <c r="AF24" t="s">
        <v>48</v>
      </c>
      <c r="AG24" t="s">
        <v>42</v>
      </c>
      <c r="AH24" t="s">
        <v>42</v>
      </c>
      <c r="AI24">
        <v>26</v>
      </c>
      <c r="AJ24">
        <v>4</v>
      </c>
      <c r="AK24">
        <v>0</v>
      </c>
      <c r="AL24" t="s">
        <v>118</v>
      </c>
      <c r="AM24" s="1">
        <f>IF(ISNUMBER(Table1[[#This Row],[Total Present]]),Table1[[#This Row],[Total Present]]/6, "")</f>
        <v>4.333333333333333</v>
      </c>
    </row>
    <row r="25" spans="1:39" x14ac:dyDescent="0.3">
      <c r="A25" t="s">
        <v>138</v>
      </c>
      <c r="B25" t="s">
        <v>139</v>
      </c>
      <c r="C25" t="s">
        <v>124</v>
      </c>
      <c r="D25" t="s">
        <v>140</v>
      </c>
      <c r="E25" t="s">
        <v>48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48</v>
      </c>
      <c r="AB25" t="s">
        <v>48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 t="s">
        <v>42</v>
      </c>
      <c r="AI25">
        <v>27</v>
      </c>
      <c r="AJ25">
        <v>3</v>
      </c>
      <c r="AK25">
        <v>0</v>
      </c>
      <c r="AL25" t="s">
        <v>129</v>
      </c>
      <c r="AM25" s="1">
        <f>IF(ISNUMBER(Table1[[#This Row],[Total Present]]),Table1[[#This Row],[Total Present]]/6, "")</f>
        <v>4.5</v>
      </c>
    </row>
    <row r="26" spans="1:39" x14ac:dyDescent="0.3">
      <c r="A26" t="s">
        <v>141</v>
      </c>
      <c r="B26" t="s">
        <v>142</v>
      </c>
      <c r="C26" t="s">
        <v>46</v>
      </c>
      <c r="D26" t="s">
        <v>143</v>
      </c>
      <c r="E26" t="s">
        <v>72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48</v>
      </c>
      <c r="M26" t="s">
        <v>42</v>
      </c>
      <c r="N26" t="s">
        <v>42</v>
      </c>
      <c r="O26" t="s">
        <v>48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48</v>
      </c>
      <c r="Z26" t="s">
        <v>42</v>
      </c>
      <c r="AA26" t="s">
        <v>42</v>
      </c>
      <c r="AB26" t="s">
        <v>48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 t="s">
        <v>42</v>
      </c>
      <c r="AI26">
        <v>25</v>
      </c>
      <c r="AJ26">
        <v>4</v>
      </c>
      <c r="AK26">
        <v>1</v>
      </c>
      <c r="AL26" t="s">
        <v>144</v>
      </c>
      <c r="AM26" s="1">
        <f>IF(ISNUMBER(Table1[[#This Row],[Total Present]]),Table1[[#This Row],[Total Present]]/6, "")</f>
        <v>4.166666666666667</v>
      </c>
    </row>
    <row r="27" spans="1:39" x14ac:dyDescent="0.3">
      <c r="A27" t="s">
        <v>145</v>
      </c>
      <c r="B27" t="s">
        <v>146</v>
      </c>
      <c r="C27" t="s">
        <v>66</v>
      </c>
      <c r="D27" t="s">
        <v>147</v>
      </c>
      <c r="E27" t="s">
        <v>42</v>
      </c>
      <c r="F27" t="s">
        <v>42</v>
      </c>
      <c r="G27" t="s">
        <v>42</v>
      </c>
      <c r="H27" t="s">
        <v>42</v>
      </c>
      <c r="I27" t="s">
        <v>48</v>
      </c>
      <c r="J27" t="s">
        <v>42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42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42</v>
      </c>
      <c r="AF27" t="s">
        <v>48</v>
      </c>
      <c r="AG27" t="s">
        <v>48</v>
      </c>
      <c r="AH27" t="s">
        <v>48</v>
      </c>
      <c r="AI27">
        <v>7</v>
      </c>
      <c r="AJ27">
        <v>23</v>
      </c>
      <c r="AK27">
        <v>0</v>
      </c>
      <c r="AL27" t="s">
        <v>148</v>
      </c>
      <c r="AM27" s="1">
        <f>IF(ISNUMBER(Table1[[#This Row],[Total Present]]),Table1[[#This Row],[Total Present]]/6, "")</f>
        <v>1.1666666666666667</v>
      </c>
    </row>
    <row r="28" spans="1:39" x14ac:dyDescent="0.3">
      <c r="A28" t="s">
        <v>149</v>
      </c>
      <c r="B28" t="s">
        <v>150</v>
      </c>
      <c r="C28" t="s">
        <v>46</v>
      </c>
      <c r="D28" t="s">
        <v>151</v>
      </c>
      <c r="E28" t="s">
        <v>48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42</v>
      </c>
      <c r="P28" t="s">
        <v>48</v>
      </c>
      <c r="Q28" t="s">
        <v>48</v>
      </c>
      <c r="R28" t="s">
        <v>48</v>
      </c>
      <c r="S28" t="s">
        <v>42</v>
      </c>
      <c r="T28" t="s">
        <v>42</v>
      </c>
      <c r="U28" t="s">
        <v>48</v>
      </c>
      <c r="V28" t="s">
        <v>42</v>
      </c>
      <c r="W28" t="s">
        <v>48</v>
      </c>
      <c r="X28" t="s">
        <v>48</v>
      </c>
      <c r="Y28" t="s">
        <v>42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42</v>
      </c>
      <c r="AH28" t="s">
        <v>48</v>
      </c>
      <c r="AI28">
        <v>15</v>
      </c>
      <c r="AJ28">
        <v>15</v>
      </c>
      <c r="AK28">
        <v>0</v>
      </c>
      <c r="AL28" t="s">
        <v>84</v>
      </c>
      <c r="AM28" s="1">
        <f>IF(ISNUMBER(Table1[[#This Row],[Total Present]]),Table1[[#This Row],[Total Present]]/6, "")</f>
        <v>2.5</v>
      </c>
    </row>
    <row r="29" spans="1:39" x14ac:dyDescent="0.3">
      <c r="A29" t="s">
        <v>152</v>
      </c>
      <c r="B29" t="s">
        <v>153</v>
      </c>
      <c r="C29" t="s">
        <v>104</v>
      </c>
      <c r="D29" t="s">
        <v>154</v>
      </c>
      <c r="E29" t="s">
        <v>72</v>
      </c>
      <c r="F29" t="s">
        <v>42</v>
      </c>
      <c r="G29" t="s">
        <v>42</v>
      </c>
      <c r="H29" t="s">
        <v>42</v>
      </c>
      <c r="I29" t="s">
        <v>42</v>
      </c>
      <c r="J29" t="s">
        <v>48</v>
      </c>
      <c r="K29" t="s">
        <v>48</v>
      </c>
      <c r="L29" t="s">
        <v>42</v>
      </c>
      <c r="M29" t="s">
        <v>42</v>
      </c>
      <c r="N29" t="s">
        <v>48</v>
      </c>
      <c r="O29" t="s">
        <v>42</v>
      </c>
      <c r="P29" t="s">
        <v>48</v>
      </c>
      <c r="Q29" t="s">
        <v>48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48</v>
      </c>
      <c r="X29" t="s">
        <v>42</v>
      </c>
      <c r="Y29" t="s">
        <v>48</v>
      </c>
      <c r="Z29" t="s">
        <v>48</v>
      </c>
      <c r="AA29" t="s">
        <v>42</v>
      </c>
      <c r="AB29" t="s">
        <v>48</v>
      </c>
      <c r="AC29" t="s">
        <v>42</v>
      </c>
      <c r="AD29" t="s">
        <v>42</v>
      </c>
      <c r="AE29" t="s">
        <v>42</v>
      </c>
      <c r="AF29" t="s">
        <v>48</v>
      </c>
      <c r="AG29" t="s">
        <v>42</v>
      </c>
      <c r="AH29" t="s">
        <v>42</v>
      </c>
      <c r="AI29">
        <v>19</v>
      </c>
      <c r="AJ29">
        <v>10</v>
      </c>
      <c r="AK29">
        <v>1</v>
      </c>
      <c r="AL29" t="s">
        <v>110</v>
      </c>
      <c r="AM29" s="1">
        <f>IF(ISNUMBER(Table1[[#This Row],[Total Present]]),Table1[[#This Row],[Total Present]]/6, "")</f>
        <v>3.1666666666666665</v>
      </c>
    </row>
    <row r="30" spans="1:39" x14ac:dyDescent="0.3">
      <c r="A30" t="s">
        <v>155</v>
      </c>
      <c r="B30" t="s">
        <v>156</v>
      </c>
      <c r="C30" t="s">
        <v>66</v>
      </c>
      <c r="D30" t="s">
        <v>157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48</v>
      </c>
      <c r="L30" t="s">
        <v>42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48</v>
      </c>
      <c r="W30" t="s">
        <v>48</v>
      </c>
      <c r="X30" t="s">
        <v>42</v>
      </c>
      <c r="Y30" t="s">
        <v>48</v>
      </c>
      <c r="Z30" t="s">
        <v>48</v>
      </c>
      <c r="AA30" t="s">
        <v>42</v>
      </c>
      <c r="AB30" t="s">
        <v>42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42</v>
      </c>
      <c r="AI30">
        <v>20</v>
      </c>
      <c r="AJ30">
        <v>10</v>
      </c>
      <c r="AK30">
        <v>0</v>
      </c>
      <c r="AL30" t="s">
        <v>88</v>
      </c>
      <c r="AM30" s="1">
        <f>IF(ISNUMBER(Table1[[#This Row],[Total Present]]),Table1[[#This Row],[Total Present]]/6, "")</f>
        <v>3.3333333333333335</v>
      </c>
    </row>
    <row r="31" spans="1:39" x14ac:dyDescent="0.3">
      <c r="A31" t="s">
        <v>158</v>
      </c>
      <c r="B31" t="s">
        <v>159</v>
      </c>
      <c r="C31" t="s">
        <v>108</v>
      </c>
      <c r="D31" t="s">
        <v>160</v>
      </c>
      <c r="E31" t="s">
        <v>42</v>
      </c>
      <c r="F31" t="s">
        <v>42</v>
      </c>
      <c r="G31" t="s">
        <v>48</v>
      </c>
      <c r="H31" t="s">
        <v>42</v>
      </c>
      <c r="I31" t="s">
        <v>42</v>
      </c>
      <c r="J31" t="s">
        <v>42</v>
      </c>
      <c r="K31" t="s">
        <v>48</v>
      </c>
      <c r="L31" t="s">
        <v>42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42</v>
      </c>
      <c r="AG31" t="s">
        <v>42</v>
      </c>
      <c r="AH31" t="s">
        <v>42</v>
      </c>
      <c r="AI31">
        <v>28</v>
      </c>
      <c r="AJ31">
        <v>2</v>
      </c>
      <c r="AK31">
        <v>0</v>
      </c>
      <c r="AL31" t="s">
        <v>161</v>
      </c>
      <c r="AM31" s="1">
        <f>IF(ISNUMBER(Table1[[#This Row],[Total Present]]),Table1[[#This Row],[Total Present]]/6, "")</f>
        <v>4.666666666666667</v>
      </c>
    </row>
    <row r="32" spans="1:39" x14ac:dyDescent="0.3">
      <c r="A32" t="s">
        <v>162</v>
      </c>
      <c r="B32" t="s">
        <v>163</v>
      </c>
      <c r="C32" t="s">
        <v>46</v>
      </c>
      <c r="D32" t="s">
        <v>164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  <c r="L32" t="s">
        <v>42</v>
      </c>
      <c r="M32" t="s">
        <v>42</v>
      </c>
      <c r="N32" t="s">
        <v>42</v>
      </c>
      <c r="O32" t="s">
        <v>42</v>
      </c>
      <c r="P32" t="s">
        <v>42</v>
      </c>
      <c r="Q32" t="s">
        <v>42</v>
      </c>
      <c r="R32" t="s">
        <v>42</v>
      </c>
      <c r="S32" t="s">
        <v>48</v>
      </c>
      <c r="T32" t="s">
        <v>42</v>
      </c>
      <c r="U32" t="s">
        <v>48</v>
      </c>
      <c r="V32" t="s">
        <v>42</v>
      </c>
      <c r="W32" t="s">
        <v>48</v>
      </c>
      <c r="X32" t="s">
        <v>42</v>
      </c>
      <c r="Y32" t="s">
        <v>42</v>
      </c>
      <c r="Z32" t="s">
        <v>42</v>
      </c>
      <c r="AA32" t="s">
        <v>48</v>
      </c>
      <c r="AB32" t="s">
        <v>48</v>
      </c>
      <c r="AC32" t="s">
        <v>42</v>
      </c>
      <c r="AD32" t="s">
        <v>42</v>
      </c>
      <c r="AE32" t="s">
        <v>42</v>
      </c>
      <c r="AF32" t="s">
        <v>42</v>
      </c>
      <c r="AG32" t="s">
        <v>42</v>
      </c>
      <c r="AH32" t="s">
        <v>42</v>
      </c>
      <c r="AI32">
        <v>25</v>
      </c>
      <c r="AJ32">
        <v>5</v>
      </c>
      <c r="AK32">
        <v>0</v>
      </c>
      <c r="AL32" t="s">
        <v>144</v>
      </c>
      <c r="AM32" s="1">
        <f>IF(ISNUMBER(Table1[[#This Row],[Total Present]]),Table1[[#This Row],[Total Present]]/6, "")</f>
        <v>4.166666666666667</v>
      </c>
    </row>
    <row r="33" spans="1:39" x14ac:dyDescent="0.3">
      <c r="A33" t="s">
        <v>165</v>
      </c>
      <c r="B33" t="s">
        <v>166</v>
      </c>
      <c r="C33" t="s">
        <v>46</v>
      </c>
      <c r="D33" t="s">
        <v>167</v>
      </c>
      <c r="E33" t="s">
        <v>72</v>
      </c>
      <c r="F33" t="s">
        <v>72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  <c r="L33" t="s">
        <v>42</v>
      </c>
      <c r="M33" t="s">
        <v>42</v>
      </c>
      <c r="N33" t="s">
        <v>42</v>
      </c>
      <c r="O33" t="s">
        <v>42</v>
      </c>
      <c r="P33" t="s">
        <v>42</v>
      </c>
      <c r="Q33" t="s">
        <v>42</v>
      </c>
      <c r="R33" t="s">
        <v>42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48</v>
      </c>
      <c r="AA33" t="s">
        <v>42</v>
      </c>
      <c r="AB33" t="s">
        <v>48</v>
      </c>
      <c r="AC33" t="s">
        <v>48</v>
      </c>
      <c r="AD33" t="s">
        <v>42</v>
      </c>
      <c r="AE33" t="s">
        <v>48</v>
      </c>
      <c r="AF33" t="s">
        <v>42</v>
      </c>
      <c r="AG33" t="s">
        <v>42</v>
      </c>
      <c r="AH33" t="s">
        <v>42</v>
      </c>
      <c r="AI33">
        <v>24</v>
      </c>
      <c r="AJ33">
        <v>4</v>
      </c>
      <c r="AK33">
        <v>2</v>
      </c>
      <c r="AL33" t="s">
        <v>168</v>
      </c>
      <c r="AM33" s="1">
        <f>IF(ISNUMBER(Table1[[#This Row],[Total Present]]),Table1[[#This Row],[Total Present]]/6, "")</f>
        <v>4</v>
      </c>
    </row>
    <row r="34" spans="1:39" x14ac:dyDescent="0.3">
      <c r="A34" t="s">
        <v>169</v>
      </c>
      <c r="B34" t="s">
        <v>170</v>
      </c>
      <c r="C34" t="s">
        <v>75</v>
      </c>
      <c r="D34" t="s">
        <v>171</v>
      </c>
      <c r="E34" t="s">
        <v>42</v>
      </c>
      <c r="F34" t="s">
        <v>42</v>
      </c>
      <c r="G34" t="s">
        <v>42</v>
      </c>
      <c r="H34" t="s">
        <v>42</v>
      </c>
      <c r="I34" t="s">
        <v>42</v>
      </c>
      <c r="J34" t="s">
        <v>42</v>
      </c>
      <c r="K34" t="s">
        <v>42</v>
      </c>
      <c r="L34" t="s">
        <v>42</v>
      </c>
      <c r="M34" t="s">
        <v>42</v>
      </c>
      <c r="N34" t="s">
        <v>42</v>
      </c>
      <c r="O34" t="s">
        <v>42</v>
      </c>
      <c r="P34" t="s">
        <v>48</v>
      </c>
      <c r="Q34" t="s">
        <v>42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42</v>
      </c>
      <c r="AG34" t="s">
        <v>48</v>
      </c>
      <c r="AH34" t="s">
        <v>42</v>
      </c>
      <c r="AI34">
        <v>28</v>
      </c>
      <c r="AJ34">
        <v>2</v>
      </c>
      <c r="AK34">
        <v>0</v>
      </c>
      <c r="AL34" t="s">
        <v>161</v>
      </c>
      <c r="AM34" s="1">
        <f>IF(ISNUMBER(Table1[[#This Row],[Total Present]]),Table1[[#This Row],[Total Present]]/6, "")</f>
        <v>4.666666666666667</v>
      </c>
    </row>
    <row r="35" spans="1:39" x14ac:dyDescent="0.3">
      <c r="A35" t="s">
        <v>172</v>
      </c>
      <c r="B35" t="s">
        <v>173</v>
      </c>
      <c r="C35" t="s">
        <v>108</v>
      </c>
      <c r="D35" t="s">
        <v>174</v>
      </c>
      <c r="E35" t="s">
        <v>42</v>
      </c>
      <c r="F35" t="s">
        <v>42</v>
      </c>
      <c r="G35" t="s">
        <v>42</v>
      </c>
      <c r="H35" t="s">
        <v>42</v>
      </c>
      <c r="I35" t="s">
        <v>42</v>
      </c>
      <c r="J35" t="s">
        <v>42</v>
      </c>
      <c r="K35" t="s">
        <v>42</v>
      </c>
      <c r="L35" t="s">
        <v>42</v>
      </c>
      <c r="M35" t="s">
        <v>42</v>
      </c>
      <c r="N35" t="s">
        <v>42</v>
      </c>
      <c r="O35" t="s">
        <v>42</v>
      </c>
      <c r="P35" t="s">
        <v>42</v>
      </c>
      <c r="Q35" t="s">
        <v>42</v>
      </c>
      <c r="R35" t="s">
        <v>42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 t="s">
        <v>48</v>
      </c>
      <c r="AB35" t="s">
        <v>48</v>
      </c>
      <c r="AC35" t="s">
        <v>42</v>
      </c>
      <c r="AD35" t="s">
        <v>42</v>
      </c>
      <c r="AE35" t="s">
        <v>42</v>
      </c>
      <c r="AF35" t="s">
        <v>42</v>
      </c>
      <c r="AG35" t="s">
        <v>42</v>
      </c>
      <c r="AH35" t="s">
        <v>42</v>
      </c>
      <c r="AI35">
        <v>28</v>
      </c>
      <c r="AJ35">
        <v>2</v>
      </c>
      <c r="AK35">
        <v>0</v>
      </c>
      <c r="AL35" t="s">
        <v>161</v>
      </c>
      <c r="AM35" s="1">
        <f>IF(ISNUMBER(Table1[[#This Row],[Total Present]]),Table1[[#This Row],[Total Present]]/6, "")</f>
        <v>4.666666666666667</v>
      </c>
    </row>
    <row r="36" spans="1:39" x14ac:dyDescent="0.3">
      <c r="A36" t="s">
        <v>175</v>
      </c>
      <c r="B36" t="s">
        <v>176</v>
      </c>
      <c r="C36" t="s">
        <v>61</v>
      </c>
      <c r="D36" t="s">
        <v>177</v>
      </c>
      <c r="E36" t="s">
        <v>72</v>
      </c>
      <c r="F36" t="s">
        <v>42</v>
      </c>
      <c r="G36" t="s">
        <v>42</v>
      </c>
      <c r="H36" t="s">
        <v>42</v>
      </c>
      <c r="I36" t="s">
        <v>42</v>
      </c>
      <c r="J36" t="s">
        <v>48</v>
      </c>
      <c r="K36" t="s">
        <v>48</v>
      </c>
      <c r="L36" t="s">
        <v>42</v>
      </c>
      <c r="M36" t="s">
        <v>48</v>
      </c>
      <c r="N36" t="s">
        <v>48</v>
      </c>
      <c r="O36" t="s">
        <v>42</v>
      </c>
      <c r="P36" t="s">
        <v>42</v>
      </c>
      <c r="Q36" t="s">
        <v>42</v>
      </c>
      <c r="R36" t="s">
        <v>42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48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48</v>
      </c>
      <c r="AF36" t="s">
        <v>48</v>
      </c>
      <c r="AG36" t="s">
        <v>42</v>
      </c>
      <c r="AH36" t="s">
        <v>42</v>
      </c>
      <c r="AI36">
        <v>22</v>
      </c>
      <c r="AJ36">
        <v>7</v>
      </c>
      <c r="AK36">
        <v>1</v>
      </c>
      <c r="AL36" t="s">
        <v>80</v>
      </c>
      <c r="AM36" s="1">
        <f>IF(ISNUMBER(Table1[[#This Row],[Total Present]]),Table1[[#This Row],[Total Present]]/6, "")</f>
        <v>3.6666666666666665</v>
      </c>
    </row>
    <row r="37" spans="1:39" x14ac:dyDescent="0.3">
      <c r="A37" t="s">
        <v>178</v>
      </c>
      <c r="B37" t="s">
        <v>179</v>
      </c>
      <c r="C37" t="s">
        <v>108</v>
      </c>
      <c r="D37" t="s">
        <v>180</v>
      </c>
      <c r="E37" t="s">
        <v>42</v>
      </c>
      <c r="F37" t="s">
        <v>42</v>
      </c>
      <c r="G37" t="s">
        <v>42</v>
      </c>
      <c r="H37" t="s">
        <v>42</v>
      </c>
      <c r="I37" t="s">
        <v>42</v>
      </c>
      <c r="J37" t="s">
        <v>42</v>
      </c>
      <c r="K37" t="s">
        <v>42</v>
      </c>
      <c r="L37" t="s">
        <v>42</v>
      </c>
      <c r="M37" t="s">
        <v>42</v>
      </c>
      <c r="N37" t="s">
        <v>42</v>
      </c>
      <c r="O37" t="s">
        <v>42</v>
      </c>
      <c r="P37" t="s">
        <v>42</v>
      </c>
      <c r="Q37" t="s">
        <v>42</v>
      </c>
      <c r="R37" t="s">
        <v>42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48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42</v>
      </c>
      <c r="AG37" t="s">
        <v>48</v>
      </c>
      <c r="AH37" t="s">
        <v>42</v>
      </c>
      <c r="AI37">
        <v>28</v>
      </c>
      <c r="AJ37">
        <v>2</v>
      </c>
      <c r="AK37">
        <v>0</v>
      </c>
      <c r="AL37" t="s">
        <v>161</v>
      </c>
      <c r="AM37" s="1">
        <f>IF(ISNUMBER(Table1[[#This Row],[Total Present]]),Table1[[#This Row],[Total Present]]/6, "")</f>
        <v>4.666666666666667</v>
      </c>
    </row>
    <row r="38" spans="1:39" x14ac:dyDescent="0.3">
      <c r="A38" t="s">
        <v>181</v>
      </c>
      <c r="B38" t="s">
        <v>182</v>
      </c>
      <c r="C38" t="s">
        <v>66</v>
      </c>
      <c r="D38" t="s">
        <v>183</v>
      </c>
      <c r="E38" t="s">
        <v>42</v>
      </c>
      <c r="F38" t="s">
        <v>48</v>
      </c>
      <c r="G38" t="s">
        <v>42</v>
      </c>
      <c r="H38" t="s">
        <v>42</v>
      </c>
      <c r="I38" t="s">
        <v>48</v>
      </c>
      <c r="J38" t="s">
        <v>48</v>
      </c>
      <c r="K38" t="s">
        <v>42</v>
      </c>
      <c r="L38" t="s">
        <v>42</v>
      </c>
      <c r="M38" t="s">
        <v>42</v>
      </c>
      <c r="N38" t="s">
        <v>42</v>
      </c>
      <c r="O38" t="s">
        <v>42</v>
      </c>
      <c r="P38" t="s">
        <v>42</v>
      </c>
      <c r="Q38" t="s">
        <v>42</v>
      </c>
      <c r="R38" t="s">
        <v>48</v>
      </c>
      <c r="S38" t="s">
        <v>42</v>
      </c>
      <c r="T38" t="s">
        <v>42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>
        <v>12</v>
      </c>
      <c r="AJ38">
        <v>18</v>
      </c>
      <c r="AK38">
        <v>0</v>
      </c>
      <c r="AL38" t="s">
        <v>184</v>
      </c>
      <c r="AM38" s="1">
        <f>IF(ISNUMBER(Table1[[#This Row],[Total Present]]),Table1[[#This Row],[Total Present]]/6, "")</f>
        <v>2</v>
      </c>
    </row>
    <row r="39" spans="1:39" x14ac:dyDescent="0.3">
      <c r="A39" t="s">
        <v>185</v>
      </c>
      <c r="B39" t="s">
        <v>186</v>
      </c>
      <c r="C39" t="s">
        <v>46</v>
      </c>
      <c r="D39" t="s">
        <v>187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s">
        <v>48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s">
        <v>42</v>
      </c>
      <c r="T39" t="s">
        <v>42</v>
      </c>
      <c r="U39" t="s">
        <v>48</v>
      </c>
      <c r="V39" t="s">
        <v>48</v>
      </c>
      <c r="W39" t="s">
        <v>42</v>
      </c>
      <c r="X39" t="s">
        <v>42</v>
      </c>
      <c r="Y39" t="s">
        <v>42</v>
      </c>
      <c r="Z39" t="s">
        <v>48</v>
      </c>
      <c r="AA39" t="s">
        <v>42</v>
      </c>
      <c r="AB39" t="s">
        <v>42</v>
      </c>
      <c r="AC39" t="s">
        <v>42</v>
      </c>
      <c r="AD39" t="s">
        <v>48</v>
      </c>
      <c r="AE39" t="s">
        <v>48</v>
      </c>
      <c r="AF39" t="s">
        <v>42</v>
      </c>
      <c r="AG39" t="s">
        <v>42</v>
      </c>
      <c r="AH39" t="s">
        <v>42</v>
      </c>
      <c r="AI39">
        <v>11</v>
      </c>
      <c r="AJ39">
        <v>19</v>
      </c>
      <c r="AK39">
        <v>0</v>
      </c>
      <c r="AL39" t="s">
        <v>49</v>
      </c>
      <c r="AM39" s="1">
        <f>IF(ISNUMBER(Table1[[#This Row],[Total Present]]),Table1[[#This Row],[Total Present]]/6, "")</f>
        <v>1.8333333333333333</v>
      </c>
    </row>
    <row r="40" spans="1:39" x14ac:dyDescent="0.3">
      <c r="D40" t="s">
        <v>34</v>
      </c>
      <c r="E40" t="s">
        <v>188</v>
      </c>
      <c r="F40" t="s">
        <v>189</v>
      </c>
      <c r="G40" t="s">
        <v>190</v>
      </c>
      <c r="H40" t="s">
        <v>191</v>
      </c>
      <c r="I40" t="s">
        <v>192</v>
      </c>
      <c r="J40" t="s">
        <v>190</v>
      </c>
      <c r="K40" t="s">
        <v>193</v>
      </c>
      <c r="L40" t="s">
        <v>190</v>
      </c>
      <c r="M40" t="s">
        <v>193</v>
      </c>
      <c r="N40" t="s">
        <v>194</v>
      </c>
      <c r="O40" t="s">
        <v>190</v>
      </c>
      <c r="P40" t="s">
        <v>194</v>
      </c>
      <c r="Q40" t="s">
        <v>193</v>
      </c>
      <c r="R40" t="s">
        <v>191</v>
      </c>
      <c r="S40" t="s">
        <v>195</v>
      </c>
      <c r="T40" t="s">
        <v>196</v>
      </c>
      <c r="U40" t="s">
        <v>190</v>
      </c>
      <c r="V40" t="s">
        <v>197</v>
      </c>
      <c r="W40" t="s">
        <v>198</v>
      </c>
      <c r="X40" t="s">
        <v>194</v>
      </c>
      <c r="Y40" t="s">
        <v>189</v>
      </c>
      <c r="Z40" t="s">
        <v>199</v>
      </c>
      <c r="AA40" t="s">
        <v>193</v>
      </c>
      <c r="AB40" t="s">
        <v>199</v>
      </c>
      <c r="AC40" t="s">
        <v>194</v>
      </c>
      <c r="AD40" t="s">
        <v>193</v>
      </c>
      <c r="AE40" t="s">
        <v>193</v>
      </c>
      <c r="AF40" t="s">
        <v>200</v>
      </c>
      <c r="AG40" t="s">
        <v>189</v>
      </c>
      <c r="AH40" t="s">
        <v>197</v>
      </c>
      <c r="AM40" s="1" t="str">
        <f>IF(ISNUMBER(Table1[[#This Row],[Total Present]]),Table1[[#This Row],[Total Present]]/6, "")</f>
        <v/>
      </c>
    </row>
    <row r="41" spans="1:39" x14ac:dyDescent="0.3">
      <c r="D41" t="s">
        <v>35</v>
      </c>
      <c r="E41" t="s">
        <v>201</v>
      </c>
      <c r="F41" t="s">
        <v>202</v>
      </c>
      <c r="G41" t="s">
        <v>203</v>
      </c>
      <c r="H41" t="s">
        <v>204</v>
      </c>
      <c r="I41" t="s">
        <v>205</v>
      </c>
      <c r="J41" t="s">
        <v>203</v>
      </c>
      <c r="K41" t="s">
        <v>206</v>
      </c>
      <c r="L41" t="s">
        <v>203</v>
      </c>
      <c r="M41" t="s">
        <v>206</v>
      </c>
      <c r="N41" t="s">
        <v>202</v>
      </c>
      <c r="O41" t="s">
        <v>203</v>
      </c>
      <c r="P41" t="s">
        <v>202</v>
      </c>
      <c r="Q41" t="s">
        <v>206</v>
      </c>
      <c r="R41" t="s">
        <v>204</v>
      </c>
      <c r="S41" t="s">
        <v>207</v>
      </c>
      <c r="T41" t="s">
        <v>208</v>
      </c>
      <c r="U41" t="s">
        <v>203</v>
      </c>
      <c r="V41" t="s">
        <v>209</v>
      </c>
      <c r="W41" t="s">
        <v>199</v>
      </c>
      <c r="X41" t="s">
        <v>202</v>
      </c>
      <c r="Y41" t="s">
        <v>210</v>
      </c>
      <c r="Z41" t="s">
        <v>198</v>
      </c>
      <c r="AA41" t="s">
        <v>206</v>
      </c>
      <c r="AB41" t="s">
        <v>198</v>
      </c>
      <c r="AC41" t="s">
        <v>202</v>
      </c>
      <c r="AD41" t="s">
        <v>206</v>
      </c>
      <c r="AE41" t="s">
        <v>206</v>
      </c>
      <c r="AF41" t="s">
        <v>211</v>
      </c>
      <c r="AG41" t="s">
        <v>210</v>
      </c>
      <c r="AH41" t="s">
        <v>209</v>
      </c>
      <c r="AM41" s="1" t="str">
        <f>IF(ISNUMBER(Table1[[#This Row],[Total Present]]),Table1[[#This Row],[Total Present]]/6, "")</f>
        <v/>
      </c>
    </row>
    <row r="42" spans="1:39" x14ac:dyDescent="0.3">
      <c r="D42" t="s">
        <v>36</v>
      </c>
      <c r="E42" t="s">
        <v>207</v>
      </c>
      <c r="F42" t="s">
        <v>212</v>
      </c>
      <c r="G42" t="s">
        <v>213</v>
      </c>
      <c r="H42" t="s">
        <v>213</v>
      </c>
      <c r="I42" t="s">
        <v>213</v>
      </c>
      <c r="J42" t="s">
        <v>213</v>
      </c>
      <c r="K42" t="s">
        <v>213</v>
      </c>
      <c r="L42" t="s">
        <v>213</v>
      </c>
      <c r="M42" t="s">
        <v>213</v>
      </c>
      <c r="N42" t="s">
        <v>213</v>
      </c>
      <c r="O42" t="s">
        <v>213</v>
      </c>
      <c r="P42" t="s">
        <v>213</v>
      </c>
      <c r="Q42" t="s">
        <v>213</v>
      </c>
      <c r="R42" t="s">
        <v>213</v>
      </c>
      <c r="S42" t="s">
        <v>213</v>
      </c>
      <c r="T42" t="s">
        <v>213</v>
      </c>
      <c r="U42" t="s">
        <v>213</v>
      </c>
      <c r="V42" t="s">
        <v>213</v>
      </c>
      <c r="W42" t="s">
        <v>213</v>
      </c>
      <c r="X42" t="s">
        <v>213</v>
      </c>
      <c r="Y42" t="s">
        <v>213</v>
      </c>
      <c r="Z42" t="s">
        <v>213</v>
      </c>
      <c r="AA42" t="s">
        <v>213</v>
      </c>
      <c r="AB42" t="s">
        <v>213</v>
      </c>
      <c r="AC42" t="s">
        <v>213</v>
      </c>
      <c r="AD42" t="s">
        <v>213</v>
      </c>
      <c r="AE42" t="s">
        <v>213</v>
      </c>
      <c r="AF42" t="s">
        <v>213</v>
      </c>
      <c r="AG42" t="s">
        <v>213</v>
      </c>
      <c r="AH42" t="s">
        <v>213</v>
      </c>
      <c r="AM42" s="1" t="str">
        <f>IF(ISNUMBER(Table1[[#This Row],[Total Present]]),Table1[[#This Row],[Total Present]]/6, "")</f>
        <v/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PSIR101 02 2024-25 2 Teorik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Erol Kaymak</dc:creator>
  <cp:lastModifiedBy>Erol Kaymak</cp:lastModifiedBy>
  <dcterms:created xsi:type="dcterms:W3CDTF">2025-06-30T07:34:59Z</dcterms:created>
  <dcterms:modified xsi:type="dcterms:W3CDTF">2025-06-30T07:51:29Z</dcterms:modified>
</cp:coreProperties>
</file>