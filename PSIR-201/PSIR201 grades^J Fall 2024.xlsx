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Laptop (1)\Work\Work 2\EMU\Courses\PSIR 201\PSIR 201, Fall 2024\"/>
    </mc:Choice>
  </mc:AlternateContent>
  <xr:revisionPtr revIDLastSave="0" documentId="13_ncr:1_{51AC5A9D-23AD-409F-8F27-5C08579121BE}" xr6:coauthVersionLast="47" xr6:coauthVersionMax="47" xr10:uidLastSave="{00000000-0000-0000-0000-000000000000}"/>
  <bookViews>
    <workbookView xWindow="-108" yWindow="-108" windowWidth="23256" windowHeight="12456" xr2:uid="{EA3EFFD6-C756-48A4-9443-119C47DC3E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" i="1"/>
</calcChain>
</file>

<file path=xl/sharedStrings.xml><?xml version="1.0" encoding="utf-8"?>
<sst xmlns="http://schemas.openxmlformats.org/spreadsheetml/2006/main" count="130" uniqueCount="97">
  <si>
    <t>First name</t>
  </si>
  <si>
    <t>Last name</t>
  </si>
  <si>
    <t>ID number</t>
  </si>
  <si>
    <t>Institution</t>
  </si>
  <si>
    <t>Department</t>
  </si>
  <si>
    <t>Email address</t>
  </si>
  <si>
    <t>Midterm (Real)</t>
  </si>
  <si>
    <t>Midterm (Feedback)</t>
  </si>
  <si>
    <t>Final (Real)</t>
  </si>
  <si>
    <t>Final (Feedback)</t>
  </si>
  <si>
    <t>Quizzes (Real)</t>
  </si>
  <si>
    <t>Quizzes (Feedback)</t>
  </si>
  <si>
    <t>Lecture exercises (Real)</t>
  </si>
  <si>
    <t>Lecture exercises (Feedback)</t>
  </si>
  <si>
    <t>Tutorial exercises (Real)</t>
  </si>
  <si>
    <t>Tutorial exercises (Feedback)</t>
  </si>
  <si>
    <t>Assignment: Apply Critical Theory (Real)</t>
  </si>
  <si>
    <t>Assignment: Apply Critical Theory (Feedback)</t>
  </si>
  <si>
    <t>Course total (Real)</t>
  </si>
  <si>
    <t>Course total (Feedback)</t>
  </si>
  <si>
    <t>Last downloaded from this course</t>
  </si>
  <si>
    <t>SARP DAĞ</t>
  </si>
  <si>
    <t>ALTAY</t>
  </si>
  <si>
    <t>23700193@emu.edu.tr</t>
  </si>
  <si>
    <t>1737381352</t>
  </si>
  <si>
    <t>EMİN GENCER</t>
  </si>
  <si>
    <t>AYDIN</t>
  </si>
  <si>
    <t>22000983@emu.edu.tr</t>
  </si>
  <si>
    <t>TANEM</t>
  </si>
  <si>
    <t>BEHZAT</t>
  </si>
  <si>
    <t>24501317@emu.edu.tr</t>
  </si>
  <si>
    <t>YAĞMUR SAHRA</t>
  </si>
  <si>
    <t>DURAL</t>
  </si>
  <si>
    <t>23000049@emu.edu.tr</t>
  </si>
  <si>
    <t>-</t>
  </si>
  <si>
    <t>YAZAN</t>
  </si>
  <si>
    <t>FAKHRI</t>
  </si>
  <si>
    <t>23702401@emu.edu.tr</t>
  </si>
  <si>
    <t>İPEK SU</t>
  </si>
  <si>
    <t>FEYZİOĞLU</t>
  </si>
  <si>
    <t>21330653@emu.edu.tr</t>
  </si>
  <si>
    <t>DİREN BERFİN</t>
  </si>
  <si>
    <t>GÜMÜŞBOĞA</t>
  </si>
  <si>
    <t>24500392@emu.edu.tr</t>
  </si>
  <si>
    <t>BERKCAN</t>
  </si>
  <si>
    <t>KAYIM</t>
  </si>
  <si>
    <t>21000010@emu.edu.tr</t>
  </si>
  <si>
    <t>MANUELLA HAKIM ELIA</t>
  </si>
  <si>
    <t>LOMORO</t>
  </si>
  <si>
    <t>24501552@emu.edu.tr</t>
  </si>
  <si>
    <t>ÇAĞAN</t>
  </si>
  <si>
    <t>MAMÜLCÜ</t>
  </si>
  <si>
    <t>20330508@emu.edu.tr</t>
  </si>
  <si>
    <t>ABETHU</t>
  </si>
  <si>
    <t>NDZABUKELWAKO</t>
  </si>
  <si>
    <t>20911102@emu.edu.tr</t>
  </si>
  <si>
    <t>MULEMA</t>
  </si>
  <si>
    <t>NTUMBA RODI</t>
  </si>
  <si>
    <t>21904818@emu.edu.tr</t>
  </si>
  <si>
    <t>ADIL</t>
  </si>
  <si>
    <t>OSPAN</t>
  </si>
  <si>
    <t>20800515@emu.edu.tr</t>
  </si>
  <si>
    <t>BRIAN OCHIENG</t>
  </si>
  <si>
    <t>OTIENO</t>
  </si>
  <si>
    <t>23701155@emu.edu.tr</t>
  </si>
  <si>
    <t>AYSEL</t>
  </si>
  <si>
    <t>RAHMANOVA</t>
  </si>
  <si>
    <t>23700762@emu.edu.tr</t>
  </si>
  <si>
    <t>KENYANA</t>
  </si>
  <si>
    <t>RWOMUSHANA</t>
  </si>
  <si>
    <t>23702075@emu.edu.tr</t>
  </si>
  <si>
    <t>GHAYDA ABDULBASET ALI</t>
  </si>
  <si>
    <t>SHANBUR</t>
  </si>
  <si>
    <t>23704234@emu.edu.tr</t>
  </si>
  <si>
    <t>AYŞE</t>
  </si>
  <si>
    <t>ŞİMŞEK</t>
  </si>
  <si>
    <t>23330972@emu.edu.tr</t>
  </si>
  <si>
    <t>EGE</t>
  </si>
  <si>
    <t>TEZEL</t>
  </si>
  <si>
    <t>24501065@emu.edu.tr</t>
  </si>
  <si>
    <t>BESTE</t>
  </si>
  <si>
    <t>ÜSTÜNER</t>
  </si>
  <si>
    <t>22000043@emu.edu.tr</t>
  </si>
  <si>
    <t>SAFAR</t>
  </si>
  <si>
    <t>YUSUF</t>
  </si>
  <si>
    <t>24700482@emu.edu.tr</t>
  </si>
  <si>
    <t>Midterm (35%)</t>
  </si>
  <si>
    <t>Course total (Real)2</t>
  </si>
  <si>
    <t>give her a C overall</t>
  </si>
  <si>
    <t>A</t>
  </si>
  <si>
    <t>C+/B-?</t>
  </si>
  <si>
    <t>D+</t>
  </si>
  <si>
    <t>B+</t>
  </si>
  <si>
    <t>F</t>
  </si>
  <si>
    <t>A-</t>
  </si>
  <si>
    <t>D-</t>
  </si>
  <si>
    <t>C-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</si>
</sst>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5C28-B84D-4D39-ACCE-1DE010A62C51}">
  <dimension ref="A1:X23"/>
  <sheetViews>
    <sheetView tabSelected="1" topLeftCell="J1" zoomScale="91" workbookViewId="0">
      <selection activeCell="W23" sqref="W23"/>
    </sheetView>
  </sheetViews>
  <sheetFormatPr defaultRowHeight="14.4" x14ac:dyDescent="0.3"/>
  <cols>
    <col min="22" max="22" width="12.6640625" bestFit="1" customWidth="1"/>
    <col min="23" max="23" width="16.77734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86</v>
      </c>
      <c r="W1" t="s">
        <v>87</v>
      </c>
    </row>
    <row r="2" spans="1:24" x14ac:dyDescent="0.3">
      <c r="A2" t="s">
        <v>21</v>
      </c>
      <c r="B2" t="s">
        <v>22</v>
      </c>
      <c r="F2" t="s">
        <v>23</v>
      </c>
      <c r="G2">
        <v>37</v>
      </c>
      <c r="I2">
        <v>26.5</v>
      </c>
      <c r="K2">
        <v>1</v>
      </c>
      <c r="M2">
        <v>6.5</v>
      </c>
      <c r="O2">
        <v>8</v>
      </c>
      <c r="Q2">
        <v>0</v>
      </c>
      <c r="S2">
        <v>87.86</v>
      </c>
      <c r="U2" t="s">
        <v>24</v>
      </c>
      <c r="V2" s="1">
        <f>$G2*35%</f>
        <v>12.95</v>
      </c>
      <c r="W2">
        <f>SUM($I2, $K2, $M2, $O2, $Q2, $V2)</f>
        <v>54.95</v>
      </c>
      <c r="X2" t="s">
        <v>91</v>
      </c>
    </row>
    <row r="3" spans="1:24" x14ac:dyDescent="0.3">
      <c r="A3" t="s">
        <v>25</v>
      </c>
      <c r="B3" t="s">
        <v>26</v>
      </c>
      <c r="F3" t="s">
        <v>27</v>
      </c>
      <c r="G3">
        <v>92</v>
      </c>
      <c r="I3">
        <v>27</v>
      </c>
      <c r="K3">
        <v>5</v>
      </c>
      <c r="M3">
        <v>9</v>
      </c>
      <c r="O3">
        <v>2</v>
      </c>
      <c r="Q3">
        <v>4</v>
      </c>
      <c r="S3">
        <v>132.75</v>
      </c>
      <c r="U3" t="s">
        <v>24</v>
      </c>
      <c r="V3" s="1">
        <f t="shared" ref="V3:V22" si="0">$G3*35%</f>
        <v>32.199999999999996</v>
      </c>
      <c r="W3">
        <f t="shared" ref="W3:W22" si="1">SUM($I3, $K3, $M3, $O3, $Q3, $V3)</f>
        <v>79.199999999999989</v>
      </c>
      <c r="X3" t="s">
        <v>92</v>
      </c>
    </row>
    <row r="4" spans="1:24" x14ac:dyDescent="0.3">
      <c r="A4" t="s">
        <v>28</v>
      </c>
      <c r="B4" t="s">
        <v>29</v>
      </c>
      <c r="F4" t="s">
        <v>30</v>
      </c>
      <c r="G4">
        <v>72</v>
      </c>
      <c r="I4">
        <v>33.5</v>
      </c>
      <c r="K4">
        <v>2.5</v>
      </c>
      <c r="M4">
        <v>9</v>
      </c>
      <c r="O4">
        <v>2.5</v>
      </c>
      <c r="Q4">
        <v>3.5</v>
      </c>
      <c r="S4">
        <v>118.35</v>
      </c>
      <c r="U4" t="s">
        <v>24</v>
      </c>
      <c r="V4" s="1">
        <f t="shared" si="0"/>
        <v>25.2</v>
      </c>
      <c r="W4">
        <f t="shared" si="1"/>
        <v>76.2</v>
      </c>
      <c r="X4" t="s">
        <v>92</v>
      </c>
    </row>
    <row r="5" spans="1:24" x14ac:dyDescent="0.3">
      <c r="A5" t="s">
        <v>31</v>
      </c>
      <c r="B5" t="s">
        <v>32</v>
      </c>
      <c r="F5" t="s">
        <v>33</v>
      </c>
      <c r="G5">
        <v>52</v>
      </c>
      <c r="I5" t="s">
        <v>34</v>
      </c>
      <c r="K5">
        <v>0</v>
      </c>
      <c r="M5">
        <v>6</v>
      </c>
      <c r="O5">
        <v>2</v>
      </c>
      <c r="Q5">
        <v>0</v>
      </c>
      <c r="S5">
        <v>54.58</v>
      </c>
      <c r="U5" t="s">
        <v>24</v>
      </c>
      <c r="V5" s="1">
        <f t="shared" si="0"/>
        <v>18.2</v>
      </c>
      <c r="W5">
        <f t="shared" si="1"/>
        <v>26.2</v>
      </c>
      <c r="X5" t="s">
        <v>93</v>
      </c>
    </row>
    <row r="6" spans="1:24" x14ac:dyDescent="0.3">
      <c r="A6" t="s">
        <v>35</v>
      </c>
      <c r="B6" t="s">
        <v>36</v>
      </c>
      <c r="F6" t="s">
        <v>37</v>
      </c>
      <c r="G6">
        <v>81</v>
      </c>
      <c r="I6">
        <v>32</v>
      </c>
      <c r="K6">
        <v>5</v>
      </c>
      <c r="M6">
        <v>6</v>
      </c>
      <c r="O6">
        <v>10</v>
      </c>
      <c r="Q6">
        <v>0</v>
      </c>
      <c r="S6">
        <v>139.84</v>
      </c>
      <c r="U6" t="s">
        <v>24</v>
      </c>
      <c r="V6" s="1">
        <f t="shared" si="0"/>
        <v>28.349999999999998</v>
      </c>
      <c r="W6">
        <f t="shared" si="1"/>
        <v>81.349999999999994</v>
      </c>
      <c r="X6" t="s">
        <v>94</v>
      </c>
    </row>
    <row r="7" spans="1:24" x14ac:dyDescent="0.3">
      <c r="A7" t="s">
        <v>38</v>
      </c>
      <c r="B7" t="s">
        <v>39</v>
      </c>
      <c r="F7" t="s">
        <v>40</v>
      </c>
      <c r="G7">
        <v>40</v>
      </c>
      <c r="I7">
        <v>21.5</v>
      </c>
      <c r="K7">
        <v>2.5</v>
      </c>
      <c r="M7">
        <v>3</v>
      </c>
      <c r="O7">
        <v>3</v>
      </c>
      <c r="Q7">
        <v>0</v>
      </c>
      <c r="S7">
        <v>69.98</v>
      </c>
      <c r="U7" t="s">
        <v>24</v>
      </c>
      <c r="V7" s="1">
        <f t="shared" si="0"/>
        <v>14</v>
      </c>
      <c r="W7">
        <f t="shared" si="1"/>
        <v>44</v>
      </c>
      <c r="X7" t="s">
        <v>95</v>
      </c>
    </row>
    <row r="8" spans="1:24" x14ac:dyDescent="0.3">
      <c r="A8" t="s">
        <v>41</v>
      </c>
      <c r="B8" t="s">
        <v>42</v>
      </c>
      <c r="F8" t="s">
        <v>43</v>
      </c>
      <c r="G8">
        <v>73</v>
      </c>
      <c r="I8">
        <v>21.5</v>
      </c>
      <c r="K8">
        <v>0</v>
      </c>
      <c r="M8">
        <v>5.5</v>
      </c>
      <c r="O8">
        <v>2</v>
      </c>
      <c r="Q8">
        <v>0</v>
      </c>
      <c r="S8">
        <v>93.71</v>
      </c>
      <c r="U8" t="s">
        <v>24</v>
      </c>
      <c r="V8" s="1">
        <f t="shared" si="0"/>
        <v>25.549999999999997</v>
      </c>
      <c r="W8">
        <f t="shared" si="1"/>
        <v>54.55</v>
      </c>
      <c r="X8" t="s">
        <v>91</v>
      </c>
    </row>
    <row r="9" spans="1:24" x14ac:dyDescent="0.3">
      <c r="A9" t="s">
        <v>44</v>
      </c>
      <c r="B9" t="s">
        <v>45</v>
      </c>
      <c r="F9" t="s">
        <v>46</v>
      </c>
      <c r="G9">
        <v>25</v>
      </c>
      <c r="I9">
        <v>5.5</v>
      </c>
      <c r="K9">
        <v>1.5</v>
      </c>
      <c r="M9">
        <v>3</v>
      </c>
      <c r="O9">
        <v>1.5</v>
      </c>
      <c r="Q9">
        <v>0</v>
      </c>
      <c r="S9">
        <v>38.14</v>
      </c>
      <c r="U9" t="s">
        <v>24</v>
      </c>
      <c r="V9" s="1">
        <f t="shared" si="0"/>
        <v>8.75</v>
      </c>
      <c r="W9">
        <f t="shared" si="1"/>
        <v>20.25</v>
      </c>
      <c r="X9" t="s">
        <v>93</v>
      </c>
    </row>
    <row r="10" spans="1:24" x14ac:dyDescent="0.3">
      <c r="A10" t="s">
        <v>47</v>
      </c>
      <c r="B10" t="s">
        <v>48</v>
      </c>
      <c r="F10" t="s">
        <v>49</v>
      </c>
      <c r="G10">
        <v>50</v>
      </c>
      <c r="I10">
        <v>28</v>
      </c>
      <c r="K10">
        <v>3.5</v>
      </c>
      <c r="M10">
        <v>7.5</v>
      </c>
      <c r="O10">
        <v>6</v>
      </c>
      <c r="Q10">
        <v>0</v>
      </c>
      <c r="S10">
        <v>102.83</v>
      </c>
      <c r="U10" t="s">
        <v>24</v>
      </c>
      <c r="V10" s="1">
        <f t="shared" si="0"/>
        <v>17.5</v>
      </c>
      <c r="W10">
        <f t="shared" si="1"/>
        <v>62.5</v>
      </c>
      <c r="X10" t="s">
        <v>90</v>
      </c>
    </row>
    <row r="11" spans="1:24" x14ac:dyDescent="0.3">
      <c r="A11" t="s">
        <v>50</v>
      </c>
      <c r="B11" t="s">
        <v>51</v>
      </c>
      <c r="F11" t="s">
        <v>52</v>
      </c>
      <c r="G11">
        <v>79</v>
      </c>
      <c r="I11">
        <v>33.5</v>
      </c>
      <c r="K11">
        <v>5</v>
      </c>
      <c r="M11">
        <v>7</v>
      </c>
      <c r="O11">
        <v>10</v>
      </c>
      <c r="Q11">
        <v>3.9</v>
      </c>
      <c r="S11">
        <v>141.86000000000001</v>
      </c>
      <c r="U11" t="s">
        <v>24</v>
      </c>
      <c r="V11" s="1">
        <f t="shared" si="0"/>
        <v>27.65</v>
      </c>
      <c r="W11">
        <f t="shared" si="1"/>
        <v>87.05</v>
      </c>
      <c r="X11" t="s">
        <v>89</v>
      </c>
    </row>
    <row r="12" spans="1:24" x14ac:dyDescent="0.3">
      <c r="A12" t="s">
        <v>53</v>
      </c>
      <c r="B12" t="s">
        <v>54</v>
      </c>
      <c r="F12" t="s">
        <v>55</v>
      </c>
      <c r="G12">
        <v>67</v>
      </c>
      <c r="I12" t="s">
        <v>34</v>
      </c>
      <c r="K12">
        <v>0</v>
      </c>
      <c r="M12">
        <v>2</v>
      </c>
      <c r="O12">
        <v>3</v>
      </c>
      <c r="Q12">
        <v>0</v>
      </c>
      <c r="S12">
        <v>59.27</v>
      </c>
      <c r="U12" t="s">
        <v>24</v>
      </c>
      <c r="V12" s="1">
        <f t="shared" si="0"/>
        <v>23.45</v>
      </c>
      <c r="W12">
        <f t="shared" si="1"/>
        <v>28.45</v>
      </c>
      <c r="X12" t="s">
        <v>93</v>
      </c>
    </row>
    <row r="13" spans="1:24" x14ac:dyDescent="0.3">
      <c r="A13" t="s">
        <v>56</v>
      </c>
      <c r="B13" t="s">
        <v>57</v>
      </c>
      <c r="F13" t="s">
        <v>58</v>
      </c>
      <c r="G13">
        <v>44</v>
      </c>
      <c r="I13">
        <v>21.5</v>
      </c>
      <c r="K13">
        <v>3.5</v>
      </c>
      <c r="M13">
        <v>8</v>
      </c>
      <c r="O13">
        <v>6</v>
      </c>
      <c r="Q13">
        <v>3.5</v>
      </c>
      <c r="S13">
        <v>93.38</v>
      </c>
      <c r="U13" t="s">
        <v>24</v>
      </c>
      <c r="V13" s="1">
        <f t="shared" si="0"/>
        <v>15.399999999999999</v>
      </c>
      <c r="W13">
        <f t="shared" si="1"/>
        <v>57.9</v>
      </c>
      <c r="X13" t="s">
        <v>96</v>
      </c>
    </row>
    <row r="14" spans="1:24" x14ac:dyDescent="0.3">
      <c r="A14" t="s">
        <v>59</v>
      </c>
      <c r="B14" t="s">
        <v>60</v>
      </c>
      <c r="F14" t="s">
        <v>61</v>
      </c>
      <c r="G14">
        <v>53</v>
      </c>
      <c r="I14">
        <v>24.5</v>
      </c>
      <c r="K14">
        <v>0</v>
      </c>
      <c r="M14">
        <v>7</v>
      </c>
      <c r="O14">
        <v>3</v>
      </c>
      <c r="Q14">
        <v>4</v>
      </c>
      <c r="S14">
        <v>86.29</v>
      </c>
      <c r="U14" t="s">
        <v>24</v>
      </c>
      <c r="V14" s="1">
        <f t="shared" si="0"/>
        <v>18.549999999999997</v>
      </c>
      <c r="W14">
        <f t="shared" si="1"/>
        <v>57.05</v>
      </c>
      <c r="X14" t="s">
        <v>96</v>
      </c>
    </row>
    <row r="15" spans="1:24" x14ac:dyDescent="0.3">
      <c r="A15" t="s">
        <v>62</v>
      </c>
      <c r="B15" t="s">
        <v>63</v>
      </c>
      <c r="F15" t="s">
        <v>64</v>
      </c>
      <c r="G15">
        <v>71</v>
      </c>
      <c r="I15">
        <v>28.5</v>
      </c>
      <c r="K15">
        <v>2.5</v>
      </c>
      <c r="M15">
        <v>7</v>
      </c>
      <c r="O15">
        <v>6</v>
      </c>
      <c r="Q15">
        <v>4</v>
      </c>
      <c r="S15">
        <v>116.44</v>
      </c>
      <c r="U15" t="s">
        <v>24</v>
      </c>
      <c r="V15" s="1">
        <f t="shared" si="0"/>
        <v>24.849999999999998</v>
      </c>
      <c r="W15">
        <f t="shared" si="1"/>
        <v>72.849999999999994</v>
      </c>
      <c r="X15" t="s">
        <v>92</v>
      </c>
    </row>
    <row r="16" spans="1:24" x14ac:dyDescent="0.3">
      <c r="A16" t="s">
        <v>65</v>
      </c>
      <c r="B16" t="s">
        <v>66</v>
      </c>
      <c r="F16" t="s">
        <v>67</v>
      </c>
      <c r="G16">
        <v>89</v>
      </c>
      <c r="I16">
        <v>32</v>
      </c>
      <c r="K16">
        <v>5</v>
      </c>
      <c r="M16">
        <v>10</v>
      </c>
      <c r="O16">
        <v>10</v>
      </c>
      <c r="Q16">
        <v>4.5</v>
      </c>
      <c r="S16">
        <v>155.13999999999999</v>
      </c>
      <c r="U16" t="s">
        <v>24</v>
      </c>
      <c r="V16" s="1">
        <f t="shared" si="0"/>
        <v>31.15</v>
      </c>
      <c r="W16">
        <f t="shared" si="1"/>
        <v>92.65</v>
      </c>
      <c r="X16" t="s">
        <v>89</v>
      </c>
    </row>
    <row r="17" spans="1:24" x14ac:dyDescent="0.3">
      <c r="A17" t="s">
        <v>68</v>
      </c>
      <c r="B17" t="s">
        <v>69</v>
      </c>
      <c r="F17" t="s">
        <v>70</v>
      </c>
      <c r="G17">
        <v>85</v>
      </c>
      <c r="I17">
        <v>33.5</v>
      </c>
      <c r="K17">
        <v>5</v>
      </c>
      <c r="M17">
        <v>9</v>
      </c>
      <c r="O17">
        <v>10</v>
      </c>
      <c r="Q17">
        <v>3.8</v>
      </c>
      <c r="S17">
        <v>151.09</v>
      </c>
      <c r="U17" t="s">
        <v>24</v>
      </c>
      <c r="V17" s="1">
        <f t="shared" si="0"/>
        <v>29.749999999999996</v>
      </c>
      <c r="W17">
        <f t="shared" si="1"/>
        <v>91.05</v>
      </c>
      <c r="X17" t="s">
        <v>89</v>
      </c>
    </row>
    <row r="18" spans="1:24" x14ac:dyDescent="0.3">
      <c r="A18" t="s">
        <v>71</v>
      </c>
      <c r="B18" t="s">
        <v>72</v>
      </c>
      <c r="F18" t="s">
        <v>73</v>
      </c>
      <c r="G18">
        <v>76</v>
      </c>
      <c r="I18">
        <v>33</v>
      </c>
      <c r="K18">
        <v>4</v>
      </c>
      <c r="M18">
        <v>9.5</v>
      </c>
      <c r="O18">
        <v>8</v>
      </c>
      <c r="Q18">
        <v>4.3</v>
      </c>
      <c r="S18">
        <v>137.93</v>
      </c>
      <c r="U18" t="s">
        <v>24</v>
      </c>
      <c r="V18" s="1">
        <f t="shared" si="0"/>
        <v>26.599999999999998</v>
      </c>
      <c r="W18">
        <f t="shared" si="1"/>
        <v>85.399999999999991</v>
      </c>
      <c r="X18" t="s">
        <v>89</v>
      </c>
    </row>
    <row r="19" spans="1:24" x14ac:dyDescent="0.3">
      <c r="A19" t="s">
        <v>74</v>
      </c>
      <c r="B19" t="s">
        <v>75</v>
      </c>
      <c r="F19" t="s">
        <v>76</v>
      </c>
      <c r="G19">
        <v>51</v>
      </c>
      <c r="I19">
        <v>18</v>
      </c>
      <c r="K19">
        <v>5</v>
      </c>
      <c r="M19">
        <v>8</v>
      </c>
      <c r="O19">
        <v>10</v>
      </c>
      <c r="Q19">
        <v>3.8</v>
      </c>
      <c r="S19">
        <v>108.11</v>
      </c>
      <c r="U19" t="s">
        <v>24</v>
      </c>
      <c r="V19" s="1">
        <f t="shared" si="0"/>
        <v>17.849999999999998</v>
      </c>
      <c r="W19">
        <f t="shared" si="1"/>
        <v>62.649999999999991</v>
      </c>
      <c r="X19" t="s">
        <v>88</v>
      </c>
    </row>
    <row r="20" spans="1:24" x14ac:dyDescent="0.3">
      <c r="A20" t="s">
        <v>77</v>
      </c>
      <c r="B20" t="s">
        <v>78</v>
      </c>
      <c r="F20" t="s">
        <v>79</v>
      </c>
      <c r="G20">
        <v>55</v>
      </c>
      <c r="I20">
        <v>29.5</v>
      </c>
      <c r="K20">
        <v>3</v>
      </c>
      <c r="M20">
        <v>7</v>
      </c>
      <c r="O20">
        <v>1</v>
      </c>
      <c r="Q20">
        <v>4</v>
      </c>
      <c r="S20">
        <v>94.61</v>
      </c>
      <c r="U20" t="s">
        <v>24</v>
      </c>
      <c r="V20" s="1">
        <f t="shared" si="0"/>
        <v>19.25</v>
      </c>
      <c r="W20">
        <f t="shared" si="1"/>
        <v>63.75</v>
      </c>
      <c r="X20" t="s">
        <v>90</v>
      </c>
    </row>
    <row r="21" spans="1:24" x14ac:dyDescent="0.3">
      <c r="A21" t="s">
        <v>80</v>
      </c>
      <c r="B21" t="s">
        <v>81</v>
      </c>
      <c r="F21" t="s">
        <v>82</v>
      </c>
      <c r="G21">
        <v>44</v>
      </c>
      <c r="I21">
        <v>26.5</v>
      </c>
      <c r="K21">
        <v>1.5</v>
      </c>
      <c r="M21">
        <v>7</v>
      </c>
      <c r="O21">
        <v>2</v>
      </c>
      <c r="Q21">
        <v>3.7</v>
      </c>
      <c r="S21">
        <v>82.13</v>
      </c>
      <c r="U21" t="s">
        <v>24</v>
      </c>
      <c r="V21" s="1">
        <f t="shared" si="0"/>
        <v>15.399999999999999</v>
      </c>
      <c r="W21">
        <f t="shared" si="1"/>
        <v>56.1</v>
      </c>
      <c r="X21" t="s">
        <v>91</v>
      </c>
    </row>
    <row r="22" spans="1:24" x14ac:dyDescent="0.3">
      <c r="A22" t="s">
        <v>83</v>
      </c>
      <c r="B22" t="s">
        <v>84</v>
      </c>
      <c r="F22" t="s">
        <v>85</v>
      </c>
      <c r="G22">
        <v>94</v>
      </c>
      <c r="I22">
        <v>35.5</v>
      </c>
      <c r="K22">
        <v>5</v>
      </c>
      <c r="M22">
        <v>9</v>
      </c>
      <c r="O22">
        <v>10</v>
      </c>
      <c r="Q22">
        <v>4.2</v>
      </c>
      <c r="S22">
        <v>159.97999999999999</v>
      </c>
      <c r="U22" t="s">
        <v>24</v>
      </c>
      <c r="V22" s="1">
        <f t="shared" si="0"/>
        <v>32.9</v>
      </c>
      <c r="W22">
        <f t="shared" si="1"/>
        <v>96.6</v>
      </c>
      <c r="X22" t="s">
        <v>89</v>
      </c>
    </row>
    <row r="23" spans="1:24" x14ac:dyDescent="0.3">
      <c r="W23" s="2">
        <f>AVERAGE(W2:W22)</f>
        <v>64.319047619047609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Erol Kaymak</dc:creator>
  <cp:lastModifiedBy>Erol Kaymak</cp:lastModifiedBy>
  <dcterms:created xsi:type="dcterms:W3CDTF">2025-01-20T14:12:41Z</dcterms:created>
  <dcterms:modified xsi:type="dcterms:W3CDTF">2025-01-22T07:52:30Z</dcterms:modified>
</cp:coreProperties>
</file>