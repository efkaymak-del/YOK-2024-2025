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Laptop (1)\Work\Work 2\EMU\Courses\PSIR 307\PSIR 307, Fall 2024\"/>
    </mc:Choice>
  </mc:AlternateContent>
  <xr:revisionPtr revIDLastSave="0" documentId="13_ncr:1_{79DF5BF9-3B4F-40DC-AE63-0EA4366C5172}" xr6:coauthVersionLast="47" xr6:coauthVersionMax="47" xr10:uidLastSave="{00000000-0000-0000-0000-000000000000}"/>
  <bookViews>
    <workbookView xWindow="-108" yWindow="-108" windowWidth="23256" windowHeight="12456" xr2:uid="{4FC1968F-CBE7-4026-8F8E-1092F5D7FA6B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15" i="1"/>
  <c r="W14" i="1"/>
  <c r="W13" i="1"/>
  <c r="W12" i="1"/>
  <c r="W10" i="1"/>
  <c r="W8" i="1"/>
  <c r="W6" i="1"/>
  <c r="W4" i="1"/>
  <c r="W3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2" i="1"/>
  <c r="W5" i="1"/>
  <c r="W7" i="1"/>
  <c r="W9" i="1"/>
  <c r="W11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2" i="1"/>
</calcChain>
</file>

<file path=xl/sharedStrings.xml><?xml version="1.0" encoding="utf-8"?>
<sst xmlns="http://schemas.openxmlformats.org/spreadsheetml/2006/main" count="125" uniqueCount="73">
  <si>
    <t>First name</t>
  </si>
  <si>
    <t>Last name</t>
  </si>
  <si>
    <t>ID number</t>
  </si>
  <si>
    <t>Institution</t>
  </si>
  <si>
    <t>Department</t>
  </si>
  <si>
    <t>Email address</t>
  </si>
  <si>
    <t>Assignment: Assignment testing (Real)</t>
  </si>
  <si>
    <t>Assignment: Assignment testing (Feedback)</t>
  </si>
  <si>
    <t>Quiz: Quiz 1 (Real)</t>
  </si>
  <si>
    <t>Quiz: Quiz 1 (Feedback)</t>
  </si>
  <si>
    <t>Assignment: Allegory of the Cave Socratic Seminar (Real)</t>
  </si>
  <si>
    <t>Assignment: Allegory of the Cave Socratic Seminar (Feedback)</t>
  </si>
  <si>
    <t>Midterm (Real)</t>
  </si>
  <si>
    <t>Midterm (Feedback)</t>
  </si>
  <si>
    <t>Assignment: Position paper on deliberative democracy (Real)</t>
  </si>
  <si>
    <t>Assignment: Position paper on deliberative democracy (Feedback)</t>
  </si>
  <si>
    <t>Assignment: Design Peace youself (Real)</t>
  </si>
  <si>
    <t>Assignment: Design Peace youself (Feedback)</t>
  </si>
  <si>
    <t>Final (Real)</t>
  </si>
  <si>
    <t>Final (Feedback)</t>
  </si>
  <si>
    <t>Course total (Real)</t>
  </si>
  <si>
    <t>Course total (Feedback)</t>
  </si>
  <si>
    <t>Last downloaded from this course</t>
  </si>
  <si>
    <t>KAREEM WAIL</t>
  </si>
  <si>
    <t>ABDELRAHMAN MEDANI</t>
  </si>
  <si>
    <t>22902563@emu.edu.tr</t>
  </si>
  <si>
    <t>-</t>
  </si>
  <si>
    <t>1736773303</t>
  </si>
  <si>
    <t>BINTU YIE</t>
  </si>
  <si>
    <t>ARUNA</t>
  </si>
  <si>
    <t>21007985@emu.edu.tr</t>
  </si>
  <si>
    <t>ALİ</t>
  </si>
  <si>
    <t>AZERİ</t>
  </si>
  <si>
    <t>22330956@emu.edu.tr</t>
  </si>
  <si>
    <t>JUNISA</t>
  </si>
  <si>
    <t>BRIMA</t>
  </si>
  <si>
    <t>22703519@emu.edu.tr</t>
  </si>
  <si>
    <t>TOPRAK</t>
  </si>
  <si>
    <t>CANITEZ</t>
  </si>
  <si>
    <t>18330582@emu.edu.tr</t>
  </si>
  <si>
    <t>LARA İREM</t>
  </si>
  <si>
    <t>ÇAPAR</t>
  </si>
  <si>
    <t>20000021@emu.edu.tr</t>
  </si>
  <si>
    <t>SONAY</t>
  </si>
  <si>
    <t>DEMİRPENÇE</t>
  </si>
  <si>
    <t>20330953@emu.edu.tr</t>
  </si>
  <si>
    <t>SALAR</t>
  </si>
  <si>
    <t>HAMZEHEI</t>
  </si>
  <si>
    <t>24501126@emu.edu.tr</t>
  </si>
  <si>
    <t>ERIYE SARAH ENE</t>
  </si>
  <si>
    <t>IKOLI</t>
  </si>
  <si>
    <t>16701751@emu.edu.tr</t>
  </si>
  <si>
    <t>MUNYERENKANA SYLVIA</t>
  </si>
  <si>
    <t>KATOTO</t>
  </si>
  <si>
    <t>20800401@emu.edu.tr</t>
  </si>
  <si>
    <t>HALEF</t>
  </si>
  <si>
    <t>KURT</t>
  </si>
  <si>
    <t>21330655@emu.edu.tr</t>
  </si>
  <si>
    <t>GWENAELLE LUSAMBA TSHIMPA</t>
  </si>
  <si>
    <t>LUKUNDULA</t>
  </si>
  <si>
    <t>22701102@emu.edu.tr</t>
  </si>
  <si>
    <t>DALINGCEBO HOPE</t>
  </si>
  <si>
    <t>MSIBI</t>
  </si>
  <si>
    <t>19700509@emu.edu.tr</t>
  </si>
  <si>
    <t>SAİD</t>
  </si>
  <si>
    <t>TUNA</t>
  </si>
  <si>
    <t>19330876@emu.edu.tr</t>
  </si>
  <si>
    <t>Midterm Weighted</t>
  </si>
  <si>
    <t>Course total</t>
  </si>
  <si>
    <t>Position paper Grade out of 7.5</t>
  </si>
  <si>
    <t>Design peace Grade out of 7.52</t>
  </si>
  <si>
    <t>Attendance</t>
  </si>
  <si>
    <t>Participation (Real)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</si>
</sst>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 Unicode MS"/>
    </font>
    <font>
      <b/>
      <i/>
      <sz val="16"/>
      <color theme="1"/>
      <name val="Arial Unicode MS"/>
    </font>
    <font>
      <b/>
      <i/>
      <u/>
      <sz val="11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1">
    <xf numFmtId="0" fontId="0" fillId="0" borderId="0" xfId="0"/>
  </cellXfs>
  <cellStyles count="5">
    <cellStyle name="Heading" xfId="1" xr:uid="{95C5C53E-A65B-43D4-939E-3A1E035B2208}"/>
    <cellStyle name="Heading1" xfId="2" xr:uid="{D81BECA7-C0B7-494B-8776-AC94A024E559}"/>
    <cellStyle name="Normal" xfId="0" builtinId="0" customBuiltin="1"/>
    <cellStyle name="Result" xfId="3" xr:uid="{5B07B5CE-24D3-483A-8038-5876466B7ADE}"/>
    <cellStyle name="Result2" xfId="4" xr:uid="{DB555C87-5D90-46AA-BA67-7F802E87B6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BCD7-EE19-42B6-85B6-6456D6F5877F}">
  <dimension ref="A1:AC15"/>
  <sheetViews>
    <sheetView tabSelected="1" workbookViewId="0">
      <selection activeCell="I15" sqref="I15"/>
    </sheetView>
  </sheetViews>
  <sheetFormatPr defaultRowHeight="13.8"/>
  <cols>
    <col min="13" max="13" width="15.796875" customWidth="1"/>
    <col min="15" max="15" width="31.8984375" customWidth="1"/>
    <col min="17" max="17" width="36.19921875" customWidth="1"/>
    <col min="19" max="19" width="7.19921875" customWidth="1"/>
    <col min="20" max="20" width="9.5" customWidth="1"/>
    <col min="21" max="21" width="19.5" customWidth="1"/>
    <col min="22" max="22" width="20.296875" customWidth="1"/>
    <col min="23" max="23" width="15.3984375" customWidth="1"/>
    <col min="24" max="24" width="18.3984375" customWidth="1"/>
    <col min="26" max="26" width="15.5" bestFit="1" customWidth="1"/>
    <col min="28" max="28" width="14" bestFit="1" customWidth="1"/>
    <col min="29" max="29" width="1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72</v>
      </c>
      <c r="V1" t="s">
        <v>71</v>
      </c>
      <c r="W1" t="s">
        <v>68</v>
      </c>
      <c r="X1" t="s">
        <v>20</v>
      </c>
      <c r="Y1" t="s">
        <v>21</v>
      </c>
      <c r="Z1" t="s">
        <v>22</v>
      </c>
      <c r="AA1" t="s">
        <v>67</v>
      </c>
      <c r="AB1" t="s">
        <v>69</v>
      </c>
      <c r="AC1" t="s">
        <v>70</v>
      </c>
    </row>
    <row r="2" spans="1:29">
      <c r="A2" t="s">
        <v>23</v>
      </c>
      <c r="B2" t="s">
        <v>24</v>
      </c>
      <c r="F2" t="s">
        <v>25</v>
      </c>
      <c r="G2" t="s">
        <v>26</v>
      </c>
      <c r="I2">
        <v>2</v>
      </c>
      <c r="K2" t="s">
        <v>26</v>
      </c>
      <c r="M2">
        <v>91</v>
      </c>
      <c r="O2">
        <v>2.8</v>
      </c>
      <c r="Q2">
        <v>2.85</v>
      </c>
      <c r="S2">
        <v>37</v>
      </c>
      <c r="U2">
        <v>5</v>
      </c>
      <c r="V2">
        <v>9.5</v>
      </c>
      <c r="W2">
        <f>$AA2 + SUM($G2, $I2, $K2, $AB2, $AC2, $S2, $U2, $V2)</f>
        <v>94.924999999999997</v>
      </c>
      <c r="X2">
        <v>136.24</v>
      </c>
      <c r="Z2" t="s">
        <v>27</v>
      </c>
      <c r="AA2">
        <f>$M2*0.3</f>
        <v>27.3</v>
      </c>
      <c r="AB2">
        <f>$O2 * 2.5</f>
        <v>7</v>
      </c>
      <c r="AC2">
        <f>$Q2*2.5</f>
        <v>7.125</v>
      </c>
    </row>
    <row r="3" spans="1:29">
      <c r="A3" t="s">
        <v>28</v>
      </c>
      <c r="B3" t="s">
        <v>29</v>
      </c>
      <c r="F3" t="s">
        <v>30</v>
      </c>
      <c r="G3" t="s">
        <v>26</v>
      </c>
      <c r="I3" t="s">
        <v>26</v>
      </c>
      <c r="K3" t="s">
        <v>26</v>
      </c>
      <c r="M3">
        <v>80</v>
      </c>
      <c r="O3">
        <v>2.6</v>
      </c>
      <c r="Q3">
        <v>2.65</v>
      </c>
      <c r="S3">
        <v>32</v>
      </c>
      <c r="U3">
        <v>3.5</v>
      </c>
      <c r="V3">
        <v>7</v>
      </c>
      <c r="W3">
        <f>$AA3 + SUM($G3, $I3, $K3, $AB3, $AC3, $S3, $U3)</f>
        <v>72.625</v>
      </c>
      <c r="X3">
        <v>117.21</v>
      </c>
      <c r="Z3" t="s">
        <v>27</v>
      </c>
      <c r="AA3">
        <f t="shared" ref="AA3:AA15" si="0">$M3*0.3</f>
        <v>24</v>
      </c>
      <c r="AB3">
        <f t="shared" ref="AB3:AB15" si="1">$O3 * 2.5</f>
        <v>6.5</v>
      </c>
      <c r="AC3">
        <f t="shared" ref="AC3:AC15" si="2">$Q3*2.5</f>
        <v>6.625</v>
      </c>
    </row>
    <row r="4" spans="1:29">
      <c r="A4" t="s">
        <v>31</v>
      </c>
      <c r="B4" t="s">
        <v>32</v>
      </c>
      <c r="F4" t="s">
        <v>33</v>
      </c>
      <c r="G4" t="s">
        <v>26</v>
      </c>
      <c r="I4">
        <v>2</v>
      </c>
      <c r="K4" t="s">
        <v>26</v>
      </c>
      <c r="M4">
        <v>91</v>
      </c>
      <c r="O4">
        <v>2.6</v>
      </c>
      <c r="Q4">
        <v>0</v>
      </c>
      <c r="S4">
        <v>30</v>
      </c>
      <c r="U4">
        <v>4</v>
      </c>
      <c r="V4">
        <v>6.5</v>
      </c>
      <c r="W4">
        <f>$AA4 + SUM($G4, $I4, $K4, $AB4, $AC4, $S4, $U4)</f>
        <v>69.8</v>
      </c>
      <c r="X4">
        <v>127.13</v>
      </c>
      <c r="Z4" t="s">
        <v>27</v>
      </c>
      <c r="AA4">
        <f t="shared" si="0"/>
        <v>27.3</v>
      </c>
      <c r="AB4">
        <f t="shared" si="1"/>
        <v>6.5</v>
      </c>
      <c r="AC4">
        <f t="shared" si="2"/>
        <v>0</v>
      </c>
    </row>
    <row r="5" spans="1:29">
      <c r="A5" t="s">
        <v>34</v>
      </c>
      <c r="B5" t="s">
        <v>35</v>
      </c>
      <c r="F5" t="s">
        <v>36</v>
      </c>
      <c r="G5" t="s">
        <v>26</v>
      </c>
      <c r="I5" t="s">
        <v>26</v>
      </c>
      <c r="K5" t="s">
        <v>26</v>
      </c>
      <c r="M5">
        <v>85</v>
      </c>
      <c r="O5">
        <v>2.6</v>
      </c>
      <c r="Q5">
        <v>2.65</v>
      </c>
      <c r="S5">
        <v>30</v>
      </c>
      <c r="U5">
        <v>3.5</v>
      </c>
      <c r="V5">
        <v>8.5</v>
      </c>
      <c r="W5">
        <f t="shared" ref="W5:W11" si="3">$AA5 + SUM($G5, $I5, $K5, $O5, $Q5, $S5, $U5)</f>
        <v>64.25</v>
      </c>
      <c r="X5">
        <v>120.63</v>
      </c>
      <c r="Z5" t="s">
        <v>27</v>
      </c>
      <c r="AA5">
        <f t="shared" si="0"/>
        <v>25.5</v>
      </c>
      <c r="AB5">
        <f t="shared" si="1"/>
        <v>6.5</v>
      </c>
      <c r="AC5">
        <f t="shared" si="2"/>
        <v>6.625</v>
      </c>
    </row>
    <row r="6" spans="1:29">
      <c r="A6" t="s">
        <v>37</v>
      </c>
      <c r="B6" t="s">
        <v>38</v>
      </c>
      <c r="F6" t="s">
        <v>39</v>
      </c>
      <c r="G6" t="s">
        <v>26</v>
      </c>
      <c r="I6" t="s">
        <v>26</v>
      </c>
      <c r="K6" t="s">
        <v>26</v>
      </c>
      <c r="M6">
        <v>76</v>
      </c>
      <c r="O6">
        <v>0</v>
      </c>
      <c r="Q6">
        <v>0</v>
      </c>
      <c r="S6">
        <v>28</v>
      </c>
      <c r="U6">
        <v>3.5</v>
      </c>
      <c r="V6">
        <v>5</v>
      </c>
      <c r="W6">
        <f>$AA6 + SUM($G6, $I6, $K6, $AB6, $AC6, $S6, $U6)</f>
        <v>54.3</v>
      </c>
      <c r="X6">
        <v>104.69</v>
      </c>
      <c r="Z6" t="s">
        <v>27</v>
      </c>
      <c r="AA6">
        <f t="shared" si="0"/>
        <v>22.8</v>
      </c>
      <c r="AB6">
        <f t="shared" si="1"/>
        <v>0</v>
      </c>
      <c r="AC6">
        <f t="shared" si="2"/>
        <v>0</v>
      </c>
    </row>
    <row r="7" spans="1:29">
      <c r="A7" t="s">
        <v>40</v>
      </c>
      <c r="B7" t="s">
        <v>41</v>
      </c>
      <c r="F7" t="s">
        <v>42</v>
      </c>
      <c r="G7" t="s">
        <v>26</v>
      </c>
      <c r="I7" t="s">
        <v>26</v>
      </c>
      <c r="K7" t="s">
        <v>26</v>
      </c>
      <c r="M7">
        <v>80</v>
      </c>
      <c r="O7">
        <v>2.5</v>
      </c>
      <c r="Q7">
        <v>2.65</v>
      </c>
      <c r="S7">
        <v>31</v>
      </c>
      <c r="U7">
        <v>3</v>
      </c>
      <c r="V7">
        <v>5</v>
      </c>
      <c r="W7">
        <f t="shared" si="3"/>
        <v>63.15</v>
      </c>
      <c r="X7">
        <v>116.21</v>
      </c>
      <c r="Z7" t="s">
        <v>27</v>
      </c>
      <c r="AA7">
        <f t="shared" si="0"/>
        <v>24</v>
      </c>
      <c r="AB7">
        <f t="shared" si="1"/>
        <v>6.25</v>
      </c>
      <c r="AC7">
        <f t="shared" si="2"/>
        <v>6.625</v>
      </c>
    </row>
    <row r="8" spans="1:29">
      <c r="A8" t="s">
        <v>43</v>
      </c>
      <c r="B8" t="s">
        <v>44</v>
      </c>
      <c r="F8" t="s">
        <v>45</v>
      </c>
      <c r="G8" t="s">
        <v>26</v>
      </c>
      <c r="I8" t="s">
        <v>26</v>
      </c>
      <c r="K8" t="s">
        <v>26</v>
      </c>
      <c r="M8">
        <v>50</v>
      </c>
      <c r="O8">
        <v>2.6</v>
      </c>
      <c r="Q8">
        <v>2.65</v>
      </c>
      <c r="S8">
        <v>27</v>
      </c>
      <c r="U8">
        <v>3</v>
      </c>
      <c r="V8">
        <v>3</v>
      </c>
      <c r="W8">
        <f>$AA8 + SUM($G8, $I8, $K8, $AB8, $AC8, $S8, $U8)</f>
        <v>58.125</v>
      </c>
      <c r="X8">
        <v>81.33</v>
      </c>
      <c r="Z8" t="s">
        <v>27</v>
      </c>
      <c r="AA8">
        <f t="shared" si="0"/>
        <v>15</v>
      </c>
      <c r="AB8">
        <f t="shared" si="1"/>
        <v>6.5</v>
      </c>
      <c r="AC8">
        <f t="shared" si="2"/>
        <v>6.625</v>
      </c>
    </row>
    <row r="9" spans="1:29">
      <c r="A9" t="s">
        <v>46</v>
      </c>
      <c r="B9" t="s">
        <v>47</v>
      </c>
      <c r="F9" t="s">
        <v>48</v>
      </c>
      <c r="G9" t="s">
        <v>26</v>
      </c>
      <c r="I9" t="s">
        <v>26</v>
      </c>
      <c r="K9" t="s">
        <v>26</v>
      </c>
      <c r="M9">
        <v>59</v>
      </c>
      <c r="O9">
        <v>0</v>
      </c>
      <c r="Q9">
        <v>0</v>
      </c>
      <c r="S9" t="s">
        <v>26</v>
      </c>
      <c r="U9">
        <v>3.5</v>
      </c>
      <c r="V9">
        <v>4</v>
      </c>
      <c r="W9">
        <f t="shared" si="3"/>
        <v>21.2</v>
      </c>
      <c r="X9">
        <v>59.47</v>
      </c>
      <c r="Z9" t="s">
        <v>27</v>
      </c>
      <c r="AA9">
        <f t="shared" si="0"/>
        <v>17.7</v>
      </c>
      <c r="AB9">
        <f t="shared" si="1"/>
        <v>0</v>
      </c>
      <c r="AC9">
        <f t="shared" si="2"/>
        <v>0</v>
      </c>
    </row>
    <row r="10" spans="1:29">
      <c r="A10" t="s">
        <v>49</v>
      </c>
      <c r="B10" t="s">
        <v>50</v>
      </c>
      <c r="F10" t="s">
        <v>51</v>
      </c>
      <c r="G10" t="s">
        <v>26</v>
      </c>
      <c r="I10" t="s">
        <v>26</v>
      </c>
      <c r="K10" t="s">
        <v>26</v>
      </c>
      <c r="M10">
        <v>70</v>
      </c>
      <c r="O10">
        <v>2.6</v>
      </c>
      <c r="Q10">
        <v>2.65</v>
      </c>
      <c r="S10">
        <v>33</v>
      </c>
      <c r="U10">
        <v>3</v>
      </c>
      <c r="V10">
        <v>5.5</v>
      </c>
      <c r="W10">
        <f>$AA10 + SUM($G10, $I10, $K10, $AB10, $AC10, $S10, $U10)</f>
        <v>70.125</v>
      </c>
      <c r="X10">
        <v>107.65</v>
      </c>
      <c r="Z10" t="s">
        <v>27</v>
      </c>
      <c r="AA10">
        <f t="shared" si="0"/>
        <v>21</v>
      </c>
      <c r="AB10">
        <f t="shared" si="1"/>
        <v>6.5</v>
      </c>
      <c r="AC10">
        <f t="shared" si="2"/>
        <v>6.625</v>
      </c>
    </row>
    <row r="11" spans="1:29">
      <c r="A11" t="s">
        <v>52</v>
      </c>
      <c r="B11" t="s">
        <v>53</v>
      </c>
      <c r="F11" t="s">
        <v>54</v>
      </c>
      <c r="G11" t="s">
        <v>26</v>
      </c>
      <c r="I11" t="s">
        <v>26</v>
      </c>
      <c r="K11" t="s">
        <v>26</v>
      </c>
      <c r="M11">
        <v>90</v>
      </c>
      <c r="O11">
        <v>2.6</v>
      </c>
      <c r="Q11">
        <v>2.65</v>
      </c>
      <c r="S11">
        <v>31.5</v>
      </c>
      <c r="U11">
        <v>3.5</v>
      </c>
      <c r="V11">
        <v>6.5</v>
      </c>
      <c r="W11">
        <f t="shared" si="3"/>
        <v>67.25</v>
      </c>
      <c r="X11">
        <v>127.21</v>
      </c>
      <c r="Z11" t="s">
        <v>27</v>
      </c>
      <c r="AA11">
        <f t="shared" si="0"/>
        <v>27</v>
      </c>
      <c r="AB11">
        <f t="shared" si="1"/>
        <v>6.5</v>
      </c>
      <c r="AC11">
        <f t="shared" si="2"/>
        <v>6.625</v>
      </c>
    </row>
    <row r="12" spans="1:29">
      <c r="A12" t="s">
        <v>55</v>
      </c>
      <c r="B12" t="s">
        <v>56</v>
      </c>
      <c r="F12" t="s">
        <v>57</v>
      </c>
      <c r="G12" t="s">
        <v>26</v>
      </c>
      <c r="I12">
        <v>1</v>
      </c>
      <c r="K12" t="s">
        <v>26</v>
      </c>
      <c r="M12">
        <v>87</v>
      </c>
      <c r="O12">
        <v>2.2999999999999998</v>
      </c>
      <c r="Q12">
        <v>2.6</v>
      </c>
      <c r="S12">
        <v>38</v>
      </c>
      <c r="U12">
        <v>4</v>
      </c>
      <c r="V12">
        <v>7</v>
      </c>
      <c r="W12">
        <f>$AA12 + SUM($G12, $I12, $K12, $AB12, $AC12, $S12, $U12)</f>
        <v>81.349999999999994</v>
      </c>
      <c r="X12">
        <v>131.35</v>
      </c>
      <c r="Z12" t="s">
        <v>27</v>
      </c>
      <c r="AA12">
        <f t="shared" si="0"/>
        <v>26.099999999999998</v>
      </c>
      <c r="AB12">
        <f t="shared" si="1"/>
        <v>5.75</v>
      </c>
      <c r="AC12">
        <f t="shared" si="2"/>
        <v>6.5</v>
      </c>
    </row>
    <row r="13" spans="1:29">
      <c r="A13" t="s">
        <v>58</v>
      </c>
      <c r="B13" t="s">
        <v>59</v>
      </c>
      <c r="F13" t="s">
        <v>60</v>
      </c>
      <c r="G13" t="s">
        <v>26</v>
      </c>
      <c r="I13">
        <v>0</v>
      </c>
      <c r="K13" t="s">
        <v>26</v>
      </c>
      <c r="M13">
        <v>83</v>
      </c>
      <c r="O13">
        <v>2.7</v>
      </c>
      <c r="Q13">
        <v>2.65</v>
      </c>
      <c r="S13">
        <v>33</v>
      </c>
      <c r="U13">
        <v>4</v>
      </c>
      <c r="V13">
        <v>6</v>
      </c>
      <c r="W13">
        <f>$AA13 + SUM($G13, $I13, $K13, $AB13, $AC13, $S13, $U13)</f>
        <v>75.275000000000006</v>
      </c>
      <c r="X13">
        <v>122.11</v>
      </c>
      <c r="Z13" t="s">
        <v>27</v>
      </c>
      <c r="AA13">
        <f t="shared" si="0"/>
        <v>24.9</v>
      </c>
      <c r="AB13">
        <f t="shared" si="1"/>
        <v>6.75</v>
      </c>
      <c r="AC13">
        <f t="shared" si="2"/>
        <v>6.625</v>
      </c>
    </row>
    <row r="14" spans="1:29">
      <c r="A14" t="s">
        <v>61</v>
      </c>
      <c r="B14" t="s">
        <v>62</v>
      </c>
      <c r="F14" t="s">
        <v>63</v>
      </c>
      <c r="G14" t="s">
        <v>26</v>
      </c>
      <c r="I14" t="s">
        <v>26</v>
      </c>
      <c r="K14" t="s">
        <v>26</v>
      </c>
      <c r="M14">
        <v>66</v>
      </c>
      <c r="O14">
        <v>2.6</v>
      </c>
      <c r="Q14">
        <v>2.65</v>
      </c>
      <c r="S14">
        <v>31.5</v>
      </c>
      <c r="U14">
        <v>3.5</v>
      </c>
      <c r="V14">
        <v>5.5</v>
      </c>
      <c r="W14">
        <f>$AA14 + SUM($G14, $I14, $K14, $AB14, $AC14, $S14, $U14)</f>
        <v>67.924999999999997</v>
      </c>
      <c r="X14">
        <v>102.11</v>
      </c>
      <c r="Z14" t="s">
        <v>27</v>
      </c>
      <c r="AA14">
        <f t="shared" si="0"/>
        <v>19.8</v>
      </c>
      <c r="AB14">
        <f t="shared" si="1"/>
        <v>6.5</v>
      </c>
      <c r="AC14">
        <f t="shared" si="2"/>
        <v>6.625</v>
      </c>
    </row>
    <row r="15" spans="1:29">
      <c r="A15" t="s">
        <v>64</v>
      </c>
      <c r="B15" t="s">
        <v>65</v>
      </c>
      <c r="F15" t="s">
        <v>66</v>
      </c>
      <c r="G15" t="s">
        <v>26</v>
      </c>
      <c r="I15" t="s">
        <v>26</v>
      </c>
      <c r="K15" t="s">
        <v>26</v>
      </c>
      <c r="M15">
        <v>64</v>
      </c>
      <c r="O15">
        <v>0</v>
      </c>
      <c r="Q15">
        <v>0</v>
      </c>
      <c r="S15" t="s">
        <v>26</v>
      </c>
      <c r="U15">
        <v>4</v>
      </c>
      <c r="V15">
        <v>4.5</v>
      </c>
      <c r="W15">
        <f>$AA15 + SUM($G15, $I15, $K15, $AB15, $AC15, $S15, $U15)</f>
        <v>23.2</v>
      </c>
      <c r="X15">
        <v>64.510000000000005</v>
      </c>
      <c r="Z15" t="s">
        <v>27</v>
      </c>
      <c r="AA15">
        <f t="shared" si="0"/>
        <v>19.2</v>
      </c>
      <c r="AB15">
        <f t="shared" si="1"/>
        <v>0</v>
      </c>
      <c r="AC15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Erol Kaymak</dc:creator>
  <cp:lastModifiedBy>Erol Kaymak</cp:lastModifiedBy>
  <dcterms:created xsi:type="dcterms:W3CDTF">2025-01-13T15:01:43Z</dcterms:created>
  <dcterms:modified xsi:type="dcterms:W3CDTF">2025-01-20T13:12:10Z</dcterms:modified>
</cp:coreProperties>
</file>