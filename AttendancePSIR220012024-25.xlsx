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G:\Other computers\My Laptop (1)\Work\Work 2\EMU\Courses\PSIR 220\PSIR 220 - Spring 2025\"/>
    </mc:Choice>
  </mc:AlternateContent>
  <xr:revisionPtr revIDLastSave="0" documentId="8_{4A8EBC4C-7B85-420E-976B-809AA77EDD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IR220 01 2024-25 2 Teorik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" i="2" l="1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" i="2"/>
</calcChain>
</file>

<file path=xl/sharedStrings.xml><?xml version="1.0" encoding="utf-8"?>
<sst xmlns="http://schemas.openxmlformats.org/spreadsheetml/2006/main" count="928" uniqueCount="143">
  <si>
    <t>Name</t>
  </si>
  <si>
    <t>Surname</t>
  </si>
  <si>
    <t>Bolum</t>
  </si>
  <si>
    <t>Student Number</t>
  </si>
  <si>
    <t>24.02.2025 14:30-15:20 (Theoretical)</t>
  </si>
  <si>
    <t>26.02.2025 11:30-12:20 (Theoretical)</t>
  </si>
  <si>
    <t>03.03.2025 14:30-15:20 (Theoretical)</t>
  </si>
  <si>
    <t>03.03.2025 15:30-16:20 (Theoretical)</t>
  </si>
  <si>
    <t>05.03.2025 11:30-12:20 (Theoretical)</t>
  </si>
  <si>
    <t>10.03.2025 14:30-15:20 (Theoretical)</t>
  </si>
  <si>
    <t>10.03.2025 15:30-16:20 (Theoretical)</t>
  </si>
  <si>
    <t>12.03.2025 12:30-13:20 (Theoretical)</t>
  </si>
  <si>
    <t>17.03.2025 14:30-15:20 (Theoretical)</t>
  </si>
  <si>
    <t>17.03.2025 15:30-16:20 (Theoretical)</t>
  </si>
  <si>
    <t>19.03.2025 11:30-12:20 (Theoretical)</t>
  </si>
  <si>
    <t>24.03.2025 14:30-15:20 (Theoretical)</t>
  </si>
  <si>
    <t>26.03.2025 11:30-12:20 (Theoretical)</t>
  </si>
  <si>
    <t>02.04.2025 11:30-12:20 (Theoretical)</t>
  </si>
  <si>
    <t>07.04.2025 14:30-15:20 (Theoretical)</t>
  </si>
  <si>
    <t>07.04.2025 15:30-16:20 (Theoretical)</t>
  </si>
  <si>
    <t>09.04.2025 11:30-12:20 (Theoretical)</t>
  </si>
  <si>
    <t>28.04.2025 14:30-15:20 (Theoretical)</t>
  </si>
  <si>
    <t>30.04.2025 11:30-12:20 (Theoretical)</t>
  </si>
  <si>
    <t>05.05.2025 14:30-15:20 (Theoretical)</t>
  </si>
  <si>
    <t>05.05.2025 15:30-16:20 (Theoretical)</t>
  </si>
  <si>
    <t>07.05.2025 11:30-12:20 (Theoretical)</t>
  </si>
  <si>
    <t>12.05.2025 14:30-15:20 (Theoretical)</t>
  </si>
  <si>
    <t>12.05.2025 15:30-16:20 (Theoretical)</t>
  </si>
  <si>
    <t>14.05.2025 11:30-12:20 (Theoretical)</t>
  </si>
  <si>
    <t>21.05.2025 11:30-12:20 (Theoretical)</t>
  </si>
  <si>
    <t>26.05.2025 14:30-15:20 (Theoretical)</t>
  </si>
  <si>
    <t>26.05.2025 15:30-16:20 (Theoretical)</t>
  </si>
  <si>
    <t>28.05.2025 11:30-12:20 (Theoretical)</t>
  </si>
  <si>
    <t>02.06.2025 14:30-15:20 (Theoretical)</t>
  </si>
  <si>
    <t>04.06.2025 11:30-12:20 (Theoretical)</t>
  </si>
  <si>
    <t>Total Present</t>
  </si>
  <si>
    <t>Total Absent</t>
  </si>
  <si>
    <t>Total Excused</t>
  </si>
  <si>
    <t>Participation</t>
  </si>
  <si>
    <t>BERZAN</t>
  </si>
  <si>
    <t>TAN</t>
  </si>
  <si>
    <t>ULUSLARARASI İLİŞKİLER</t>
  </si>
  <si>
    <t>18000010</t>
  </si>
  <si>
    <t>A</t>
  </si>
  <si>
    <t>P</t>
  </si>
  <si>
    <t>48.39%</t>
  </si>
  <si>
    <t>TOPRAK</t>
  </si>
  <si>
    <t>CANITEZ</t>
  </si>
  <si>
    <t>18330582</t>
  </si>
  <si>
    <t>19.35%</t>
  </si>
  <si>
    <t>ESMA</t>
  </si>
  <si>
    <t>ÖZCAN</t>
  </si>
  <si>
    <t>19000018</t>
  </si>
  <si>
    <t>74.19%</t>
  </si>
  <si>
    <t>AISHA SWAD</t>
  </si>
  <si>
    <t>MARTIN</t>
  </si>
  <si>
    <t>19700701</t>
  </si>
  <si>
    <t>ÇAĞAN</t>
  </si>
  <si>
    <t>MAMÜLCÜ</t>
  </si>
  <si>
    <t>20330508</t>
  </si>
  <si>
    <t>70.97%</t>
  </si>
  <si>
    <t>MUSTAFA</t>
  </si>
  <si>
    <t>ÇELEBİ</t>
  </si>
  <si>
    <t>SİYASET BİLİMİ</t>
  </si>
  <si>
    <t>20330968</t>
  </si>
  <si>
    <t>AHMAD</t>
  </si>
  <si>
    <t>HASANLI</t>
  </si>
  <si>
    <t>20700421</t>
  </si>
  <si>
    <t>FAITH LOUIS</t>
  </si>
  <si>
    <t>INYANG</t>
  </si>
  <si>
    <t>20911284</t>
  </si>
  <si>
    <t>22.58%</t>
  </si>
  <si>
    <t>AYOOB OSAMA HAMOOD</t>
  </si>
  <si>
    <t>ALSHIBAMI</t>
  </si>
  <si>
    <t>21007725</t>
  </si>
  <si>
    <t>80.65%</t>
  </si>
  <si>
    <t>BESTE</t>
  </si>
  <si>
    <t>ÜSTÜNER</t>
  </si>
  <si>
    <t>22000043</t>
  </si>
  <si>
    <t>64.52%</t>
  </si>
  <si>
    <t>GÜRKAN</t>
  </si>
  <si>
    <t>ÜLKER</t>
  </si>
  <si>
    <t>22330959</t>
  </si>
  <si>
    <t>77.42%</t>
  </si>
  <si>
    <t>HATİCE SELİNSU</t>
  </si>
  <si>
    <t>BAYIR</t>
  </si>
  <si>
    <t>22330970</t>
  </si>
  <si>
    <t>REBECCA MAMIE</t>
  </si>
  <si>
    <t>SESAY</t>
  </si>
  <si>
    <t>22700912</t>
  </si>
  <si>
    <t>100%</t>
  </si>
  <si>
    <t>KAREEM WAIL</t>
  </si>
  <si>
    <t>ABDELRAHMAN MEDANI</t>
  </si>
  <si>
    <t>22902563</t>
  </si>
  <si>
    <t>NDEY AWA</t>
  </si>
  <si>
    <t>KIJERA</t>
  </si>
  <si>
    <t>22902890</t>
  </si>
  <si>
    <t>61.29%</t>
  </si>
  <si>
    <t>ABDULLAH ENES</t>
  </si>
  <si>
    <t>YILDIZ</t>
  </si>
  <si>
    <t>23000063</t>
  </si>
  <si>
    <t>96.77%</t>
  </si>
  <si>
    <t>AYŞE</t>
  </si>
  <si>
    <t>ŞİMŞEK</t>
  </si>
  <si>
    <t>23330972</t>
  </si>
  <si>
    <t>BRIAN OCHIENG</t>
  </si>
  <si>
    <t>OTIENO</t>
  </si>
  <si>
    <t>23701155</t>
  </si>
  <si>
    <t>67.74%</t>
  </si>
  <si>
    <t>KENYANA</t>
  </si>
  <si>
    <t>RWOMUSHANA</t>
  </si>
  <si>
    <t>23702075</t>
  </si>
  <si>
    <t>GHAYDA ABDULBASET ALI</t>
  </si>
  <si>
    <t>SHANBUR</t>
  </si>
  <si>
    <t>23704234</t>
  </si>
  <si>
    <t>MEHEK SAFIQ MOHAMED</t>
  </si>
  <si>
    <t>IQBAL</t>
  </si>
  <si>
    <t>23704561</t>
  </si>
  <si>
    <t>90.32%</t>
  </si>
  <si>
    <t>SAFAR</t>
  </si>
  <si>
    <t>YUSUF</t>
  </si>
  <si>
    <t>24700482</t>
  </si>
  <si>
    <t>12</t>
  </si>
  <si>
    <t>11</t>
  </si>
  <si>
    <t>14</t>
  </si>
  <si>
    <t>16</t>
  </si>
  <si>
    <t>15</t>
  </si>
  <si>
    <t>13</t>
  </si>
  <si>
    <t>18</t>
  </si>
  <si>
    <t>19</t>
  </si>
  <si>
    <t>20</t>
  </si>
  <si>
    <t>9</t>
  </si>
  <si>
    <t>17</t>
  </si>
  <si>
    <t>8</t>
  </si>
  <si>
    <t>6</t>
  </si>
  <si>
    <t>10</t>
  </si>
  <si>
    <t>7</t>
  </si>
  <si>
    <t>4</t>
  </si>
  <si>
    <t>3</t>
  </si>
  <si>
    <t>2</t>
  </si>
  <si>
    <t>5</t>
  </si>
  <si>
    <t>0</t>
  </si>
  <si>
    <t>Participation (10-point scale)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</si>
</sst>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;;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0.00;;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N26" totalsRowShown="0">
  <autoFilter ref="A1:AN26" xr:uid="{00000000-0009-0000-0100-000001000000}"/>
  <tableColumns count="40">
    <tableColumn id="1" xr3:uid="{00000000-0010-0000-0000-000001000000}" name="Name"/>
    <tableColumn id="2" xr3:uid="{00000000-0010-0000-0000-000002000000}" name="Surname"/>
    <tableColumn id="3" xr3:uid="{00000000-0010-0000-0000-000003000000}" name="Bolum"/>
    <tableColumn id="4" xr3:uid="{00000000-0010-0000-0000-000004000000}" name="Student Number"/>
    <tableColumn id="5" xr3:uid="{00000000-0010-0000-0000-000005000000}" name="24.02.2025 14:30-15:20 (Theoretical)"/>
    <tableColumn id="6" xr3:uid="{00000000-0010-0000-0000-000006000000}" name="26.02.2025 11:30-12:20 (Theoretical)"/>
    <tableColumn id="7" xr3:uid="{00000000-0010-0000-0000-000007000000}" name="03.03.2025 14:30-15:20 (Theoretical)"/>
    <tableColumn id="8" xr3:uid="{00000000-0010-0000-0000-000008000000}" name="03.03.2025 15:30-16:20 (Theoretical)"/>
    <tableColumn id="9" xr3:uid="{00000000-0010-0000-0000-000009000000}" name="05.03.2025 11:30-12:20 (Theoretical)"/>
    <tableColumn id="10" xr3:uid="{00000000-0010-0000-0000-00000A000000}" name="10.03.2025 14:30-15:20 (Theoretical)"/>
    <tableColumn id="11" xr3:uid="{00000000-0010-0000-0000-00000B000000}" name="10.03.2025 15:30-16:20 (Theoretical)"/>
    <tableColumn id="12" xr3:uid="{00000000-0010-0000-0000-00000C000000}" name="12.03.2025 12:30-13:20 (Theoretical)"/>
    <tableColumn id="13" xr3:uid="{00000000-0010-0000-0000-00000D000000}" name="17.03.2025 14:30-15:20 (Theoretical)"/>
    <tableColumn id="14" xr3:uid="{00000000-0010-0000-0000-00000E000000}" name="17.03.2025 15:30-16:20 (Theoretical)"/>
    <tableColumn id="15" xr3:uid="{00000000-0010-0000-0000-00000F000000}" name="19.03.2025 11:30-12:20 (Theoretical)"/>
    <tableColumn id="16" xr3:uid="{00000000-0010-0000-0000-000010000000}" name="24.03.2025 14:30-15:20 (Theoretical)"/>
    <tableColumn id="17" xr3:uid="{00000000-0010-0000-0000-000011000000}" name="26.03.2025 11:30-12:20 (Theoretical)"/>
    <tableColumn id="18" xr3:uid="{00000000-0010-0000-0000-000012000000}" name="02.04.2025 11:30-12:20 (Theoretical)"/>
    <tableColumn id="19" xr3:uid="{00000000-0010-0000-0000-000013000000}" name="07.04.2025 14:30-15:20 (Theoretical)"/>
    <tableColumn id="20" xr3:uid="{00000000-0010-0000-0000-000014000000}" name="07.04.2025 15:30-16:20 (Theoretical)"/>
    <tableColumn id="21" xr3:uid="{00000000-0010-0000-0000-000015000000}" name="09.04.2025 11:30-12:20 (Theoretical)"/>
    <tableColumn id="22" xr3:uid="{00000000-0010-0000-0000-000016000000}" name="28.04.2025 14:30-15:20 (Theoretical)"/>
    <tableColumn id="23" xr3:uid="{00000000-0010-0000-0000-000017000000}" name="30.04.2025 11:30-12:20 (Theoretical)"/>
    <tableColumn id="24" xr3:uid="{00000000-0010-0000-0000-000018000000}" name="05.05.2025 14:30-15:20 (Theoretical)"/>
    <tableColumn id="25" xr3:uid="{00000000-0010-0000-0000-000019000000}" name="05.05.2025 15:30-16:20 (Theoretical)"/>
    <tableColumn id="26" xr3:uid="{00000000-0010-0000-0000-00001A000000}" name="07.05.2025 11:30-12:20 (Theoretical)"/>
    <tableColumn id="27" xr3:uid="{00000000-0010-0000-0000-00001B000000}" name="12.05.2025 14:30-15:20 (Theoretical)"/>
    <tableColumn id="28" xr3:uid="{00000000-0010-0000-0000-00001C000000}" name="12.05.2025 15:30-16:20 (Theoretical)"/>
    <tableColumn id="29" xr3:uid="{00000000-0010-0000-0000-00001D000000}" name="14.05.2025 11:30-12:20 (Theoretical)"/>
    <tableColumn id="30" xr3:uid="{00000000-0010-0000-0000-00001E000000}" name="21.05.2025 11:30-12:20 (Theoretical)"/>
    <tableColumn id="31" xr3:uid="{00000000-0010-0000-0000-00001F000000}" name="26.05.2025 14:30-15:20 (Theoretical)"/>
    <tableColumn id="32" xr3:uid="{00000000-0010-0000-0000-000020000000}" name="26.05.2025 15:30-16:20 (Theoretical)"/>
    <tableColumn id="33" xr3:uid="{00000000-0010-0000-0000-000021000000}" name="28.05.2025 11:30-12:20 (Theoretical)"/>
    <tableColumn id="34" xr3:uid="{00000000-0010-0000-0000-000022000000}" name="02.06.2025 14:30-15:20 (Theoretical)"/>
    <tableColumn id="35" xr3:uid="{00000000-0010-0000-0000-000023000000}" name="04.06.2025 11:30-12:20 (Theoretical)"/>
    <tableColumn id="36" xr3:uid="{00000000-0010-0000-0000-000024000000}" name="Total Present"/>
    <tableColumn id="37" xr3:uid="{00000000-0010-0000-0000-000025000000}" name="Total Absent"/>
    <tableColumn id="38" xr3:uid="{00000000-0010-0000-0000-000026000000}" name="Total Excused"/>
    <tableColumn id="39" xr3:uid="{00000000-0010-0000-0000-000027000000}" name="Participation"/>
    <tableColumn id="40" xr3:uid="{471918EE-8ADF-4079-9456-7B1349207E05}" name="Participation (10-point scale)" dataDxfId="0">
      <calculatedColumnFormula>IF(Table1[[#This Row],[Participation]]="","",VALUE(_xlfn.TEXTBEFORE(Table1[[#This Row],[Participation]],"%"))/10)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tabSelected="1" workbookViewId="0">
      <selection activeCell="A17" sqref="A17"/>
    </sheetView>
  </sheetViews>
  <sheetFormatPr defaultRowHeight="14.4" x14ac:dyDescent="0.3"/>
  <cols>
    <col min="40" max="40" width="27.7773437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142</v>
      </c>
    </row>
    <row r="2" spans="1:40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43</v>
      </c>
      <c r="G2" t="s">
        <v>43</v>
      </c>
      <c r="H2" t="s">
        <v>44</v>
      </c>
      <c r="I2" t="s">
        <v>43</v>
      </c>
      <c r="J2" t="s">
        <v>44</v>
      </c>
      <c r="K2" t="s">
        <v>43</v>
      </c>
      <c r="L2" t="s">
        <v>43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43</v>
      </c>
      <c r="S2" t="s">
        <v>44</v>
      </c>
      <c r="T2" t="s">
        <v>44</v>
      </c>
      <c r="U2" t="s">
        <v>44</v>
      </c>
      <c r="V2" t="s">
        <v>43</v>
      </c>
      <c r="W2" t="s">
        <v>44</v>
      </c>
      <c r="X2" t="s">
        <v>44</v>
      </c>
      <c r="Y2" t="s">
        <v>43</v>
      </c>
      <c r="Z2" t="s">
        <v>43</v>
      </c>
      <c r="AA2" t="s">
        <v>43</v>
      </c>
      <c r="AB2" t="s">
        <v>43</v>
      </c>
      <c r="AC2" t="s">
        <v>44</v>
      </c>
      <c r="AD2" t="s">
        <v>43</v>
      </c>
      <c r="AE2" t="s">
        <v>44</v>
      </c>
      <c r="AF2" t="s">
        <v>44</v>
      </c>
      <c r="AG2" t="s">
        <v>43</v>
      </c>
      <c r="AH2" t="s">
        <v>43</v>
      </c>
      <c r="AI2" t="s">
        <v>43</v>
      </c>
      <c r="AJ2">
        <v>15</v>
      </c>
      <c r="AK2">
        <v>16</v>
      </c>
      <c r="AL2">
        <v>0</v>
      </c>
      <c r="AM2" t="s">
        <v>45</v>
      </c>
      <c r="AN2" s="1">
        <f>IF(Table1[[#This Row],[Participation]]="","",VALUE(_xlfn.TEXTBEFORE(Table1[[#This Row],[Participation]],"%"))/10)</f>
        <v>4.8390000000000004</v>
      </c>
    </row>
    <row r="3" spans="1:40" x14ac:dyDescent="0.3">
      <c r="A3" t="s">
        <v>46</v>
      </c>
      <c r="B3" t="s">
        <v>47</v>
      </c>
      <c r="C3" t="s">
        <v>41</v>
      </c>
      <c r="D3" t="s">
        <v>48</v>
      </c>
      <c r="E3" t="s">
        <v>44</v>
      </c>
      <c r="F3" t="s">
        <v>43</v>
      </c>
      <c r="G3" t="s">
        <v>43</v>
      </c>
      <c r="H3" t="s">
        <v>44</v>
      </c>
      <c r="I3" t="s">
        <v>43</v>
      </c>
      <c r="J3" t="s">
        <v>44</v>
      </c>
      <c r="K3" t="s">
        <v>44</v>
      </c>
      <c r="L3" t="s">
        <v>43</v>
      </c>
      <c r="M3" t="s">
        <v>43</v>
      </c>
      <c r="N3" t="s">
        <v>43</v>
      </c>
      <c r="O3" t="s">
        <v>43</v>
      </c>
      <c r="P3" t="s">
        <v>43</v>
      </c>
      <c r="Q3" t="s">
        <v>43</v>
      </c>
      <c r="R3" t="s">
        <v>44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43</v>
      </c>
      <c r="Y3" t="s">
        <v>43</v>
      </c>
      <c r="Z3" t="s">
        <v>43</v>
      </c>
      <c r="AA3" t="s">
        <v>44</v>
      </c>
      <c r="AB3" t="s">
        <v>43</v>
      </c>
      <c r="AC3" t="s">
        <v>43</v>
      </c>
      <c r="AD3" t="s">
        <v>43</v>
      </c>
      <c r="AE3" t="s">
        <v>43</v>
      </c>
      <c r="AF3" t="s">
        <v>43</v>
      </c>
      <c r="AG3" t="s">
        <v>43</v>
      </c>
      <c r="AH3" t="s">
        <v>43</v>
      </c>
      <c r="AI3" t="s">
        <v>43</v>
      </c>
      <c r="AJ3">
        <v>6</v>
      </c>
      <c r="AK3">
        <v>25</v>
      </c>
      <c r="AL3">
        <v>0</v>
      </c>
      <c r="AM3" t="s">
        <v>49</v>
      </c>
      <c r="AN3" s="1">
        <f>IF(Table1[[#This Row],[Participation]]="","",VALUE(_xlfn.TEXTBEFORE(Table1[[#This Row],[Participation]],"%"))/10)</f>
        <v>1.9350000000000001</v>
      </c>
    </row>
    <row r="4" spans="1:40" x14ac:dyDescent="0.3">
      <c r="A4" t="s">
        <v>50</v>
      </c>
      <c r="B4" t="s">
        <v>51</v>
      </c>
      <c r="C4" t="s">
        <v>41</v>
      </c>
      <c r="D4" t="s">
        <v>52</v>
      </c>
      <c r="E4" t="s">
        <v>43</v>
      </c>
      <c r="F4" t="s">
        <v>43</v>
      </c>
      <c r="G4" t="s">
        <v>44</v>
      </c>
      <c r="H4" t="s">
        <v>44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43</v>
      </c>
      <c r="P4" t="s">
        <v>44</v>
      </c>
      <c r="Q4" t="s">
        <v>43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43</v>
      </c>
      <c r="Z4" t="s">
        <v>44</v>
      </c>
      <c r="AA4" t="s">
        <v>44</v>
      </c>
      <c r="AB4" t="s">
        <v>44</v>
      </c>
      <c r="AC4" t="s">
        <v>44</v>
      </c>
      <c r="AD4" t="s">
        <v>43</v>
      </c>
      <c r="AE4" t="s">
        <v>44</v>
      </c>
      <c r="AF4" t="s">
        <v>44</v>
      </c>
      <c r="AG4" t="s">
        <v>44</v>
      </c>
      <c r="AH4" t="s">
        <v>43</v>
      </c>
      <c r="AI4" t="s">
        <v>43</v>
      </c>
      <c r="AJ4">
        <v>23</v>
      </c>
      <c r="AK4">
        <v>8</v>
      </c>
      <c r="AL4">
        <v>0</v>
      </c>
      <c r="AM4" t="s">
        <v>53</v>
      </c>
      <c r="AN4" s="1">
        <f>IF(Table1[[#This Row],[Participation]]="","",VALUE(_xlfn.TEXTBEFORE(Table1[[#This Row],[Participation]],"%"))/10)</f>
        <v>7.4189999999999996</v>
      </c>
    </row>
    <row r="5" spans="1:40" x14ac:dyDescent="0.3">
      <c r="A5" t="s">
        <v>54</v>
      </c>
      <c r="B5" t="s">
        <v>55</v>
      </c>
      <c r="C5" t="s">
        <v>41</v>
      </c>
      <c r="D5" t="s">
        <v>56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44</v>
      </c>
      <c r="N5" t="s">
        <v>44</v>
      </c>
      <c r="O5" t="s">
        <v>43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43</v>
      </c>
      <c r="Z5" t="s">
        <v>43</v>
      </c>
      <c r="AA5" t="s">
        <v>44</v>
      </c>
      <c r="AB5" t="s">
        <v>44</v>
      </c>
      <c r="AC5" t="s">
        <v>44</v>
      </c>
      <c r="AD5" t="s">
        <v>43</v>
      </c>
      <c r="AE5" t="s">
        <v>43</v>
      </c>
      <c r="AF5" t="s">
        <v>43</v>
      </c>
      <c r="AG5" t="s">
        <v>43</v>
      </c>
      <c r="AH5" t="s">
        <v>44</v>
      </c>
      <c r="AI5" t="s">
        <v>43</v>
      </c>
      <c r="AJ5">
        <v>15</v>
      </c>
      <c r="AK5">
        <v>16</v>
      </c>
      <c r="AL5">
        <v>0</v>
      </c>
      <c r="AM5" t="s">
        <v>45</v>
      </c>
      <c r="AN5" s="1">
        <f>IF(Table1[[#This Row],[Participation]]="","",VALUE(_xlfn.TEXTBEFORE(Table1[[#This Row],[Participation]],"%"))/10)</f>
        <v>4.8390000000000004</v>
      </c>
    </row>
    <row r="6" spans="1:40" x14ac:dyDescent="0.3">
      <c r="A6" t="s">
        <v>57</v>
      </c>
      <c r="B6" t="s">
        <v>58</v>
      </c>
      <c r="C6" t="s">
        <v>41</v>
      </c>
      <c r="D6" t="s">
        <v>59</v>
      </c>
      <c r="E6" t="s">
        <v>44</v>
      </c>
      <c r="F6" t="s">
        <v>43</v>
      </c>
      <c r="G6" t="s">
        <v>44</v>
      </c>
      <c r="H6" t="s">
        <v>44</v>
      </c>
      <c r="I6" t="s">
        <v>44</v>
      </c>
      <c r="J6" t="s">
        <v>43</v>
      </c>
      <c r="K6" t="s">
        <v>43</v>
      </c>
      <c r="L6" t="s">
        <v>44</v>
      </c>
      <c r="M6" t="s">
        <v>44</v>
      </c>
      <c r="N6" t="s">
        <v>44</v>
      </c>
      <c r="O6" t="s">
        <v>44</v>
      </c>
      <c r="P6" t="s">
        <v>43</v>
      </c>
      <c r="Q6" t="s">
        <v>44</v>
      </c>
      <c r="R6" t="s">
        <v>44</v>
      </c>
      <c r="S6" t="s">
        <v>44</v>
      </c>
      <c r="T6" t="s">
        <v>44</v>
      </c>
      <c r="U6" t="s">
        <v>43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43</v>
      </c>
      <c r="AD6" t="s">
        <v>43</v>
      </c>
      <c r="AE6" t="s">
        <v>44</v>
      </c>
      <c r="AF6" t="s">
        <v>44</v>
      </c>
      <c r="AG6" t="s">
        <v>43</v>
      </c>
      <c r="AH6" t="s">
        <v>44</v>
      </c>
      <c r="AI6" t="s">
        <v>43</v>
      </c>
      <c r="AJ6">
        <v>22</v>
      </c>
      <c r="AK6">
        <v>9</v>
      </c>
      <c r="AL6">
        <v>0</v>
      </c>
      <c r="AM6" t="s">
        <v>60</v>
      </c>
      <c r="AN6" s="1">
        <f>IF(Table1[[#This Row],[Participation]]="","",VALUE(_xlfn.TEXTBEFORE(Table1[[#This Row],[Participation]],"%"))/10)</f>
        <v>7.0969999999999995</v>
      </c>
    </row>
    <row r="7" spans="1:40" x14ac:dyDescent="0.3">
      <c r="A7" t="s">
        <v>61</v>
      </c>
      <c r="B7" t="s">
        <v>62</v>
      </c>
      <c r="C7" t="s">
        <v>63</v>
      </c>
      <c r="D7" t="s">
        <v>64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44</v>
      </c>
      <c r="Y7" t="s">
        <v>44</v>
      </c>
      <c r="Z7" t="s">
        <v>43</v>
      </c>
      <c r="AA7" t="s">
        <v>44</v>
      </c>
      <c r="AB7" t="s">
        <v>44</v>
      </c>
      <c r="AC7" t="s">
        <v>43</v>
      </c>
      <c r="AD7" t="s">
        <v>43</v>
      </c>
      <c r="AE7" t="s">
        <v>44</v>
      </c>
      <c r="AF7" t="s">
        <v>44</v>
      </c>
      <c r="AG7" t="s">
        <v>43</v>
      </c>
      <c r="AH7" t="s">
        <v>43</v>
      </c>
      <c r="AI7" t="s">
        <v>43</v>
      </c>
      <c r="AJ7">
        <v>6</v>
      </c>
      <c r="AK7">
        <v>25</v>
      </c>
      <c r="AL7">
        <v>0</v>
      </c>
      <c r="AM7" t="s">
        <v>49</v>
      </c>
      <c r="AN7" s="1">
        <f>IF(Table1[[#This Row],[Participation]]="","",VALUE(_xlfn.TEXTBEFORE(Table1[[#This Row],[Participation]],"%"))/10)</f>
        <v>1.9350000000000001</v>
      </c>
    </row>
    <row r="8" spans="1:40" x14ac:dyDescent="0.3">
      <c r="A8" t="s">
        <v>65</v>
      </c>
      <c r="B8" t="s">
        <v>66</v>
      </c>
      <c r="C8" t="s">
        <v>41</v>
      </c>
      <c r="D8" t="s">
        <v>67</v>
      </c>
      <c r="E8" t="s">
        <v>43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43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43</v>
      </c>
      <c r="AH8" t="s">
        <v>43</v>
      </c>
      <c r="AI8" t="s">
        <v>43</v>
      </c>
      <c r="AJ8">
        <v>15</v>
      </c>
      <c r="AK8">
        <v>16</v>
      </c>
      <c r="AL8">
        <v>0</v>
      </c>
      <c r="AM8" t="s">
        <v>45</v>
      </c>
      <c r="AN8" s="1">
        <f>IF(Table1[[#This Row],[Participation]]="","",VALUE(_xlfn.TEXTBEFORE(Table1[[#This Row],[Participation]],"%"))/10)</f>
        <v>4.8390000000000004</v>
      </c>
    </row>
    <row r="9" spans="1:40" x14ac:dyDescent="0.3">
      <c r="A9" t="s">
        <v>68</v>
      </c>
      <c r="B9" t="s">
        <v>69</v>
      </c>
      <c r="C9" t="s">
        <v>41</v>
      </c>
      <c r="D9" t="s">
        <v>70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t="s">
        <v>44</v>
      </c>
      <c r="O9" t="s">
        <v>44</v>
      </c>
      <c r="P9" t="s">
        <v>44</v>
      </c>
      <c r="Q9" t="s">
        <v>44</v>
      </c>
      <c r="R9" t="s">
        <v>43</v>
      </c>
      <c r="S9" t="s">
        <v>44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43</v>
      </c>
      <c r="Z9" t="s">
        <v>43</v>
      </c>
      <c r="AA9" t="s">
        <v>44</v>
      </c>
      <c r="AB9" t="s">
        <v>43</v>
      </c>
      <c r="AC9" t="s">
        <v>44</v>
      </c>
      <c r="AD9" t="s">
        <v>43</v>
      </c>
      <c r="AE9" t="s">
        <v>43</v>
      </c>
      <c r="AF9" t="s">
        <v>43</v>
      </c>
      <c r="AG9" t="s">
        <v>43</v>
      </c>
      <c r="AH9" t="s">
        <v>43</v>
      </c>
      <c r="AI9" t="s">
        <v>43</v>
      </c>
      <c r="AJ9">
        <v>7</v>
      </c>
      <c r="AK9">
        <v>24</v>
      </c>
      <c r="AL9">
        <v>0</v>
      </c>
      <c r="AM9" t="s">
        <v>71</v>
      </c>
      <c r="AN9" s="1">
        <f>IF(Table1[[#This Row],[Participation]]="","",VALUE(_xlfn.TEXTBEFORE(Table1[[#This Row],[Participation]],"%"))/10)</f>
        <v>2.258</v>
      </c>
    </row>
    <row r="10" spans="1:40" x14ac:dyDescent="0.3">
      <c r="A10" t="s">
        <v>72</v>
      </c>
      <c r="B10" t="s">
        <v>73</v>
      </c>
      <c r="C10" t="s">
        <v>41</v>
      </c>
      <c r="D10" t="s">
        <v>74</v>
      </c>
      <c r="E10" t="s">
        <v>44</v>
      </c>
      <c r="F10" t="s">
        <v>43</v>
      </c>
      <c r="G10" t="s">
        <v>44</v>
      </c>
      <c r="H10" t="s">
        <v>44</v>
      </c>
      <c r="I10" t="s">
        <v>44</v>
      </c>
      <c r="J10" t="s">
        <v>44</v>
      </c>
      <c r="K10" t="s">
        <v>43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43</v>
      </c>
      <c r="Z10" t="s">
        <v>44</v>
      </c>
      <c r="AA10" t="s">
        <v>44</v>
      </c>
      <c r="AB10" t="s">
        <v>44</v>
      </c>
      <c r="AC10" t="s">
        <v>44</v>
      </c>
      <c r="AD10" t="s">
        <v>43</v>
      </c>
      <c r="AE10" t="s">
        <v>44</v>
      </c>
      <c r="AF10" t="s">
        <v>43</v>
      </c>
      <c r="AG10" t="s">
        <v>44</v>
      </c>
      <c r="AH10" t="s">
        <v>44</v>
      </c>
      <c r="AI10" t="s">
        <v>43</v>
      </c>
      <c r="AJ10">
        <v>25</v>
      </c>
      <c r="AK10">
        <v>6</v>
      </c>
      <c r="AL10">
        <v>0</v>
      </c>
      <c r="AM10" t="s">
        <v>75</v>
      </c>
      <c r="AN10" s="1">
        <f>IF(Table1[[#This Row],[Participation]]="","",VALUE(_xlfn.TEXTBEFORE(Table1[[#This Row],[Participation]],"%"))/10)</f>
        <v>8.0650000000000013</v>
      </c>
    </row>
    <row r="11" spans="1:40" x14ac:dyDescent="0.3">
      <c r="A11" t="s">
        <v>76</v>
      </c>
      <c r="B11" t="s">
        <v>77</v>
      </c>
      <c r="C11" t="s">
        <v>41</v>
      </c>
      <c r="D11" t="s">
        <v>78</v>
      </c>
      <c r="E11" t="s">
        <v>44</v>
      </c>
      <c r="F11" t="s">
        <v>44</v>
      </c>
      <c r="G11" t="s">
        <v>44</v>
      </c>
      <c r="H11" t="s">
        <v>44</v>
      </c>
      <c r="I11" t="s">
        <v>43</v>
      </c>
      <c r="J11" t="s">
        <v>44</v>
      </c>
      <c r="K11" t="s">
        <v>43</v>
      </c>
      <c r="L11" t="s">
        <v>44</v>
      </c>
      <c r="M11" t="s">
        <v>44</v>
      </c>
      <c r="N11" t="s">
        <v>44</v>
      </c>
      <c r="O11" t="s">
        <v>43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43</v>
      </c>
      <c r="W11" t="s">
        <v>43</v>
      </c>
      <c r="X11" t="s">
        <v>44</v>
      </c>
      <c r="Y11" t="s">
        <v>43</v>
      </c>
      <c r="Z11" t="s">
        <v>44</v>
      </c>
      <c r="AA11" t="s">
        <v>44</v>
      </c>
      <c r="AB11" t="s">
        <v>44</v>
      </c>
      <c r="AC11" t="s">
        <v>43</v>
      </c>
      <c r="AD11" t="s">
        <v>43</v>
      </c>
      <c r="AE11" t="s">
        <v>44</v>
      </c>
      <c r="AF11" t="s">
        <v>44</v>
      </c>
      <c r="AG11" t="s">
        <v>43</v>
      </c>
      <c r="AH11" t="s">
        <v>43</v>
      </c>
      <c r="AI11" t="s">
        <v>43</v>
      </c>
      <c r="AJ11">
        <v>20</v>
      </c>
      <c r="AK11">
        <v>11</v>
      </c>
      <c r="AL11">
        <v>0</v>
      </c>
      <c r="AM11" t="s">
        <v>79</v>
      </c>
      <c r="AN11" s="1">
        <f>IF(Table1[[#This Row],[Participation]]="","",VALUE(_xlfn.TEXTBEFORE(Table1[[#This Row],[Participation]],"%"))/10)</f>
        <v>6.452</v>
      </c>
    </row>
    <row r="12" spans="1:40" x14ac:dyDescent="0.3">
      <c r="A12" t="s">
        <v>80</v>
      </c>
      <c r="B12" t="s">
        <v>81</v>
      </c>
      <c r="C12" t="s">
        <v>63</v>
      </c>
      <c r="D12" t="s">
        <v>82</v>
      </c>
      <c r="E12" t="s">
        <v>43</v>
      </c>
      <c r="F12" t="s">
        <v>44</v>
      </c>
      <c r="G12" t="s">
        <v>43</v>
      </c>
      <c r="H12" t="s">
        <v>43</v>
      </c>
      <c r="I12" t="s">
        <v>44</v>
      </c>
      <c r="J12" t="s">
        <v>43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43</v>
      </c>
      <c r="W12" t="s">
        <v>44</v>
      </c>
      <c r="X12" t="s">
        <v>44</v>
      </c>
      <c r="Y12" t="s">
        <v>43</v>
      </c>
      <c r="Z12" t="s">
        <v>44</v>
      </c>
      <c r="AA12" t="s">
        <v>44</v>
      </c>
      <c r="AB12" t="s">
        <v>44</v>
      </c>
      <c r="AC12" t="s">
        <v>43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>
        <v>24</v>
      </c>
      <c r="AK12">
        <v>7</v>
      </c>
      <c r="AL12">
        <v>0</v>
      </c>
      <c r="AM12" t="s">
        <v>83</v>
      </c>
      <c r="AN12" s="1">
        <f>IF(Table1[[#This Row],[Participation]]="","",VALUE(_xlfn.TEXTBEFORE(Table1[[#This Row],[Participation]],"%"))/10)</f>
        <v>7.742</v>
      </c>
    </row>
    <row r="13" spans="1:40" x14ac:dyDescent="0.3">
      <c r="A13" t="s">
        <v>84</v>
      </c>
      <c r="B13" t="s">
        <v>85</v>
      </c>
      <c r="C13" t="s">
        <v>41</v>
      </c>
      <c r="D13" t="s">
        <v>86</v>
      </c>
      <c r="E13" t="s">
        <v>44</v>
      </c>
      <c r="F13" t="s">
        <v>44</v>
      </c>
      <c r="G13" t="s">
        <v>44</v>
      </c>
      <c r="H13" t="s">
        <v>44</v>
      </c>
      <c r="I13" t="s">
        <v>43</v>
      </c>
      <c r="J13" t="s">
        <v>44</v>
      </c>
      <c r="K13" t="s">
        <v>43</v>
      </c>
      <c r="L13" t="s">
        <v>43</v>
      </c>
      <c r="M13" t="s">
        <v>44</v>
      </c>
      <c r="N13" t="s">
        <v>44</v>
      </c>
      <c r="O13" t="s">
        <v>43</v>
      </c>
      <c r="P13" t="s">
        <v>44</v>
      </c>
      <c r="Q13" t="s">
        <v>43</v>
      </c>
      <c r="R13" t="s">
        <v>43</v>
      </c>
      <c r="S13" t="s">
        <v>44</v>
      </c>
      <c r="T13" t="s">
        <v>44</v>
      </c>
      <c r="U13" t="s">
        <v>43</v>
      </c>
      <c r="V13" t="s">
        <v>44</v>
      </c>
      <c r="W13" t="s">
        <v>44</v>
      </c>
      <c r="X13" t="s">
        <v>44</v>
      </c>
      <c r="Y13" t="s">
        <v>43</v>
      </c>
      <c r="Z13" t="s">
        <v>44</v>
      </c>
      <c r="AA13" t="s">
        <v>44</v>
      </c>
      <c r="AB13" t="s">
        <v>44</v>
      </c>
      <c r="AC13" t="s">
        <v>44</v>
      </c>
      <c r="AD13" t="s">
        <v>43</v>
      </c>
      <c r="AE13" t="s">
        <v>44</v>
      </c>
      <c r="AF13" t="s">
        <v>44</v>
      </c>
      <c r="AG13" t="s">
        <v>43</v>
      </c>
      <c r="AH13" t="s">
        <v>44</v>
      </c>
      <c r="AI13" t="s">
        <v>43</v>
      </c>
      <c r="AJ13">
        <v>20</v>
      </c>
      <c r="AK13">
        <v>11</v>
      </c>
      <c r="AL13">
        <v>0</v>
      </c>
      <c r="AM13" t="s">
        <v>79</v>
      </c>
      <c r="AN13" s="1">
        <f>IF(Table1[[#This Row],[Participation]]="","",VALUE(_xlfn.TEXTBEFORE(Table1[[#This Row],[Participation]],"%"))/10)</f>
        <v>6.452</v>
      </c>
    </row>
    <row r="14" spans="1:40" x14ac:dyDescent="0.3">
      <c r="A14" t="s">
        <v>87</v>
      </c>
      <c r="B14" t="s">
        <v>88</v>
      </c>
      <c r="C14" t="s">
        <v>41</v>
      </c>
      <c r="D14" t="s">
        <v>89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>
        <v>31</v>
      </c>
      <c r="AK14">
        <v>0</v>
      </c>
      <c r="AL14">
        <v>0</v>
      </c>
      <c r="AM14" t="s">
        <v>90</v>
      </c>
      <c r="AN14" s="1">
        <f>IF(Table1[[#This Row],[Participation]]="","",VALUE(_xlfn.TEXTBEFORE(Table1[[#This Row],[Participation]],"%"))/10)</f>
        <v>10</v>
      </c>
    </row>
    <row r="15" spans="1:40" x14ac:dyDescent="0.3">
      <c r="A15" t="s">
        <v>91</v>
      </c>
      <c r="B15" t="s">
        <v>92</v>
      </c>
      <c r="C15" t="s">
        <v>63</v>
      </c>
      <c r="D15" t="s">
        <v>93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>
        <v>31</v>
      </c>
      <c r="AK15">
        <v>0</v>
      </c>
      <c r="AL15">
        <v>0</v>
      </c>
      <c r="AM15" t="s">
        <v>90</v>
      </c>
      <c r="AN15" s="1">
        <f>IF(Table1[[#This Row],[Participation]]="","",VALUE(_xlfn.TEXTBEFORE(Table1[[#This Row],[Participation]],"%"))/10)</f>
        <v>10</v>
      </c>
    </row>
    <row r="16" spans="1:40" x14ac:dyDescent="0.3">
      <c r="A16" t="s">
        <v>94</v>
      </c>
      <c r="B16" t="s">
        <v>95</v>
      </c>
      <c r="C16" t="s">
        <v>41</v>
      </c>
      <c r="D16" t="s">
        <v>96</v>
      </c>
      <c r="E16" t="s">
        <v>43</v>
      </c>
      <c r="F16" t="s">
        <v>43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43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43</v>
      </c>
      <c r="S16" t="s">
        <v>44</v>
      </c>
      <c r="T16" t="s">
        <v>44</v>
      </c>
      <c r="U16" t="s">
        <v>43</v>
      </c>
      <c r="V16" t="s">
        <v>44</v>
      </c>
      <c r="W16" t="s">
        <v>44</v>
      </c>
      <c r="X16" t="s">
        <v>43</v>
      </c>
      <c r="Y16" t="s">
        <v>43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>
        <v>19</v>
      </c>
      <c r="AK16">
        <v>12</v>
      </c>
      <c r="AL16">
        <v>0</v>
      </c>
      <c r="AM16" t="s">
        <v>97</v>
      </c>
      <c r="AN16" s="1">
        <f>IF(Table1[[#This Row],[Participation]]="","",VALUE(_xlfn.TEXTBEFORE(Table1[[#This Row],[Participation]],"%"))/10)</f>
        <v>6.1289999999999996</v>
      </c>
    </row>
    <row r="17" spans="1:40" x14ac:dyDescent="0.3">
      <c r="A17" t="s">
        <v>98</v>
      </c>
      <c r="B17" t="s">
        <v>99</v>
      </c>
      <c r="C17" t="s">
        <v>41</v>
      </c>
      <c r="D17" t="s">
        <v>100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43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>
        <v>30</v>
      </c>
      <c r="AK17">
        <v>1</v>
      </c>
      <c r="AL17">
        <v>0</v>
      </c>
      <c r="AM17" t="s">
        <v>101</v>
      </c>
      <c r="AN17" s="1">
        <f>IF(Table1[[#This Row],[Participation]]="","",VALUE(_xlfn.TEXTBEFORE(Table1[[#This Row],[Participation]],"%"))/10)</f>
        <v>9.6769999999999996</v>
      </c>
    </row>
    <row r="18" spans="1:40" x14ac:dyDescent="0.3">
      <c r="A18" t="s">
        <v>102</v>
      </c>
      <c r="B18" t="s">
        <v>103</v>
      </c>
      <c r="C18" t="s">
        <v>41</v>
      </c>
      <c r="D18" t="s">
        <v>104</v>
      </c>
      <c r="E18" t="s">
        <v>43</v>
      </c>
      <c r="F18" t="s">
        <v>44</v>
      </c>
      <c r="G18" t="s">
        <v>44</v>
      </c>
      <c r="H18" t="s">
        <v>44</v>
      </c>
      <c r="I18" t="s">
        <v>44</v>
      </c>
      <c r="J18" t="s">
        <v>43</v>
      </c>
      <c r="K18" t="s">
        <v>43</v>
      </c>
      <c r="L18" t="s">
        <v>44</v>
      </c>
      <c r="M18" t="s">
        <v>43</v>
      </c>
      <c r="N18" t="s">
        <v>44</v>
      </c>
      <c r="O18" t="s">
        <v>44</v>
      </c>
      <c r="P18" t="s">
        <v>44</v>
      </c>
      <c r="Q18" t="s">
        <v>44</v>
      </c>
      <c r="R18" t="s">
        <v>43</v>
      </c>
      <c r="S18" t="s">
        <v>44</v>
      </c>
      <c r="T18" t="s">
        <v>44</v>
      </c>
      <c r="U18" t="s">
        <v>44</v>
      </c>
      <c r="V18" t="s">
        <v>44</v>
      </c>
      <c r="W18" t="s">
        <v>43</v>
      </c>
      <c r="X18" t="s">
        <v>44</v>
      </c>
      <c r="Y18" t="s">
        <v>44</v>
      </c>
      <c r="Z18" t="s">
        <v>44</v>
      </c>
      <c r="AA18" t="s">
        <v>43</v>
      </c>
      <c r="AB18" t="s">
        <v>43</v>
      </c>
      <c r="AC18" t="s">
        <v>44</v>
      </c>
      <c r="AD18" t="s">
        <v>44</v>
      </c>
      <c r="AE18" t="s">
        <v>44</v>
      </c>
      <c r="AF18" t="s">
        <v>44</v>
      </c>
      <c r="AG18" t="s">
        <v>43</v>
      </c>
      <c r="AH18" t="s">
        <v>44</v>
      </c>
      <c r="AI18" t="s">
        <v>44</v>
      </c>
      <c r="AJ18">
        <v>22</v>
      </c>
      <c r="AK18">
        <v>9</v>
      </c>
      <c r="AL18">
        <v>0</v>
      </c>
      <c r="AM18" t="s">
        <v>60</v>
      </c>
      <c r="AN18" s="1">
        <f>IF(Table1[[#This Row],[Participation]]="","",VALUE(_xlfn.TEXTBEFORE(Table1[[#This Row],[Participation]],"%"))/10)</f>
        <v>7.0969999999999995</v>
      </c>
    </row>
    <row r="19" spans="1:40" x14ac:dyDescent="0.3">
      <c r="A19" t="s">
        <v>105</v>
      </c>
      <c r="B19" t="s">
        <v>106</v>
      </c>
      <c r="C19" t="s">
        <v>41</v>
      </c>
      <c r="D19" t="s">
        <v>107</v>
      </c>
      <c r="E19" t="s">
        <v>44</v>
      </c>
      <c r="F19" t="s">
        <v>44</v>
      </c>
      <c r="G19" t="s">
        <v>44</v>
      </c>
      <c r="H19" t="s">
        <v>44</v>
      </c>
      <c r="I19" t="s">
        <v>43</v>
      </c>
      <c r="J19" t="s">
        <v>43</v>
      </c>
      <c r="K19" t="s">
        <v>43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43</v>
      </c>
      <c r="R19" t="s">
        <v>44</v>
      </c>
      <c r="S19" t="s">
        <v>44</v>
      </c>
      <c r="T19" t="s">
        <v>44</v>
      </c>
      <c r="U19" t="s">
        <v>43</v>
      </c>
      <c r="V19" t="s">
        <v>44</v>
      </c>
      <c r="W19" t="s">
        <v>44</v>
      </c>
      <c r="X19" t="s">
        <v>44</v>
      </c>
      <c r="Y19" t="s">
        <v>43</v>
      </c>
      <c r="Z19" t="s">
        <v>44</v>
      </c>
      <c r="AA19" t="s">
        <v>44</v>
      </c>
      <c r="AB19" t="s">
        <v>43</v>
      </c>
      <c r="AC19" t="s">
        <v>43</v>
      </c>
      <c r="AD19" t="s">
        <v>44</v>
      </c>
      <c r="AE19" t="s">
        <v>44</v>
      </c>
      <c r="AF19" t="s">
        <v>44</v>
      </c>
      <c r="AG19" t="s">
        <v>43</v>
      </c>
      <c r="AH19" t="s">
        <v>44</v>
      </c>
      <c r="AI19" t="s">
        <v>43</v>
      </c>
      <c r="AJ19">
        <v>21</v>
      </c>
      <c r="AK19">
        <v>10</v>
      </c>
      <c r="AL19">
        <v>0</v>
      </c>
      <c r="AM19" t="s">
        <v>108</v>
      </c>
      <c r="AN19" s="1">
        <f>IF(Table1[[#This Row],[Participation]]="","",VALUE(_xlfn.TEXTBEFORE(Table1[[#This Row],[Participation]],"%"))/10)</f>
        <v>6.7739999999999991</v>
      </c>
    </row>
    <row r="20" spans="1:40" x14ac:dyDescent="0.3">
      <c r="A20" t="s">
        <v>109</v>
      </c>
      <c r="B20" t="s">
        <v>110</v>
      </c>
      <c r="C20" t="s">
        <v>41</v>
      </c>
      <c r="D20" t="s">
        <v>111</v>
      </c>
      <c r="E20" t="s">
        <v>43</v>
      </c>
      <c r="F20" t="s">
        <v>44</v>
      </c>
      <c r="G20" t="s">
        <v>43</v>
      </c>
      <c r="H20" t="s">
        <v>43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43</v>
      </c>
      <c r="R20" t="s">
        <v>44</v>
      </c>
      <c r="S20" t="s">
        <v>44</v>
      </c>
      <c r="T20" t="s">
        <v>44</v>
      </c>
      <c r="U20" t="s">
        <v>43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43</v>
      </c>
      <c r="AE20" t="s">
        <v>44</v>
      </c>
      <c r="AF20" t="s">
        <v>44</v>
      </c>
      <c r="AG20" t="s">
        <v>44</v>
      </c>
      <c r="AH20" t="s">
        <v>44</v>
      </c>
      <c r="AI20" t="s">
        <v>43</v>
      </c>
      <c r="AJ20">
        <v>24</v>
      </c>
      <c r="AK20">
        <v>7</v>
      </c>
      <c r="AL20">
        <v>0</v>
      </c>
      <c r="AM20" t="s">
        <v>83</v>
      </c>
      <c r="AN20" s="1">
        <f>IF(Table1[[#This Row],[Participation]]="","",VALUE(_xlfn.TEXTBEFORE(Table1[[#This Row],[Participation]],"%"))/10)</f>
        <v>7.742</v>
      </c>
    </row>
    <row r="21" spans="1:40" x14ac:dyDescent="0.3">
      <c r="A21" t="s">
        <v>112</v>
      </c>
      <c r="B21" t="s">
        <v>113</v>
      </c>
      <c r="C21" t="s">
        <v>41</v>
      </c>
      <c r="D21" t="s">
        <v>114</v>
      </c>
      <c r="E21" t="s">
        <v>44</v>
      </c>
      <c r="F21" t="s">
        <v>43</v>
      </c>
      <c r="G21" t="s">
        <v>44</v>
      </c>
      <c r="H21" t="s">
        <v>44</v>
      </c>
      <c r="I21" t="s">
        <v>43</v>
      </c>
      <c r="J21" t="s">
        <v>44</v>
      </c>
      <c r="K21" t="s">
        <v>44</v>
      </c>
      <c r="L21" t="s">
        <v>43</v>
      </c>
      <c r="M21" t="s">
        <v>44</v>
      </c>
      <c r="N21" t="s">
        <v>44</v>
      </c>
      <c r="O21" t="s">
        <v>43</v>
      </c>
      <c r="P21" t="s">
        <v>43</v>
      </c>
      <c r="Q21" t="s">
        <v>43</v>
      </c>
      <c r="R21" t="s">
        <v>43</v>
      </c>
      <c r="S21" t="s">
        <v>44</v>
      </c>
      <c r="T21" t="s">
        <v>44</v>
      </c>
      <c r="U21" t="s">
        <v>43</v>
      </c>
      <c r="V21" t="s">
        <v>44</v>
      </c>
      <c r="W21" t="s">
        <v>44</v>
      </c>
      <c r="X21" t="s">
        <v>44</v>
      </c>
      <c r="Y21" t="s">
        <v>44</v>
      </c>
      <c r="Z21" t="s">
        <v>43</v>
      </c>
      <c r="AA21" t="s">
        <v>44</v>
      </c>
      <c r="AB21" t="s">
        <v>43</v>
      </c>
      <c r="AC21" t="s">
        <v>44</v>
      </c>
      <c r="AD21" t="s">
        <v>44</v>
      </c>
      <c r="AE21" t="s">
        <v>44</v>
      </c>
      <c r="AF21" t="s">
        <v>44</v>
      </c>
      <c r="AG21" t="s">
        <v>43</v>
      </c>
      <c r="AH21" t="s">
        <v>44</v>
      </c>
      <c r="AI21" t="s">
        <v>43</v>
      </c>
      <c r="AJ21">
        <v>19</v>
      </c>
      <c r="AK21">
        <v>12</v>
      </c>
      <c r="AL21">
        <v>0</v>
      </c>
      <c r="AM21" t="s">
        <v>97</v>
      </c>
      <c r="AN21" s="1">
        <f>IF(Table1[[#This Row],[Participation]]="","",VALUE(_xlfn.TEXTBEFORE(Table1[[#This Row],[Participation]],"%"))/10)</f>
        <v>6.1289999999999996</v>
      </c>
    </row>
    <row r="22" spans="1:40" x14ac:dyDescent="0.3">
      <c r="A22" t="s">
        <v>115</v>
      </c>
      <c r="B22" t="s">
        <v>116</v>
      </c>
      <c r="C22" t="s">
        <v>41</v>
      </c>
      <c r="D22" t="s">
        <v>117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43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43</v>
      </c>
      <c r="R22" t="s">
        <v>44</v>
      </c>
      <c r="S22" t="s">
        <v>44</v>
      </c>
      <c r="T22" t="s">
        <v>44</v>
      </c>
      <c r="U22" t="s">
        <v>44</v>
      </c>
      <c r="V22" t="s">
        <v>43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>
        <v>28</v>
      </c>
      <c r="AK22">
        <v>3</v>
      </c>
      <c r="AL22">
        <v>0</v>
      </c>
      <c r="AM22" t="s">
        <v>118</v>
      </c>
      <c r="AN22" s="1">
        <f>IF(Table1[[#This Row],[Participation]]="","",VALUE(_xlfn.TEXTBEFORE(Table1[[#This Row],[Participation]],"%"))/10)</f>
        <v>9.032</v>
      </c>
    </row>
    <row r="23" spans="1:40" x14ac:dyDescent="0.3">
      <c r="A23" t="s">
        <v>119</v>
      </c>
      <c r="B23" t="s">
        <v>120</v>
      </c>
      <c r="C23" t="s">
        <v>63</v>
      </c>
      <c r="D23" t="s">
        <v>121</v>
      </c>
      <c r="E23" t="s">
        <v>44</v>
      </c>
      <c r="F23" t="s">
        <v>43</v>
      </c>
      <c r="G23" t="s">
        <v>43</v>
      </c>
      <c r="H23" t="s">
        <v>43</v>
      </c>
      <c r="I23" t="s">
        <v>43</v>
      </c>
      <c r="J23" t="s">
        <v>44</v>
      </c>
      <c r="K23" t="s">
        <v>44</v>
      </c>
      <c r="L23" t="s">
        <v>43</v>
      </c>
      <c r="M23" t="s">
        <v>44</v>
      </c>
      <c r="N23" t="s">
        <v>44</v>
      </c>
      <c r="O23" t="s">
        <v>43</v>
      </c>
      <c r="P23" t="s">
        <v>44</v>
      </c>
      <c r="Q23" t="s">
        <v>43</v>
      </c>
      <c r="R23" t="s">
        <v>43</v>
      </c>
      <c r="S23" t="s">
        <v>44</v>
      </c>
      <c r="T23" t="s">
        <v>44</v>
      </c>
      <c r="U23" t="s">
        <v>43</v>
      </c>
      <c r="V23" t="s">
        <v>44</v>
      </c>
      <c r="W23" t="s">
        <v>44</v>
      </c>
      <c r="X23" t="s">
        <v>44</v>
      </c>
      <c r="Y23" t="s">
        <v>44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44</v>
      </c>
      <c r="AF23" t="s">
        <v>44</v>
      </c>
      <c r="AG23" t="s">
        <v>43</v>
      </c>
      <c r="AH23" t="s">
        <v>44</v>
      </c>
      <c r="AI23" t="s">
        <v>43</v>
      </c>
      <c r="AJ23">
        <v>15</v>
      </c>
      <c r="AK23">
        <v>16</v>
      </c>
      <c r="AL23">
        <v>0</v>
      </c>
      <c r="AM23" t="s">
        <v>45</v>
      </c>
      <c r="AN23" s="1">
        <f>IF(Table1[[#This Row],[Participation]]="","",VALUE(_xlfn.TEXTBEFORE(Table1[[#This Row],[Participation]],"%"))/10)</f>
        <v>4.8390000000000004</v>
      </c>
    </row>
    <row r="24" spans="1:40" x14ac:dyDescent="0.3">
      <c r="D24" t="s">
        <v>35</v>
      </c>
      <c r="E24" t="s">
        <v>122</v>
      </c>
      <c r="F24" t="s">
        <v>123</v>
      </c>
      <c r="G24" t="s">
        <v>124</v>
      </c>
      <c r="H24" t="s">
        <v>125</v>
      </c>
      <c r="I24" t="s">
        <v>122</v>
      </c>
      <c r="J24" t="s">
        <v>126</v>
      </c>
      <c r="K24" t="s">
        <v>123</v>
      </c>
      <c r="L24" t="s">
        <v>127</v>
      </c>
      <c r="M24" t="s">
        <v>128</v>
      </c>
      <c r="N24" t="s">
        <v>129</v>
      </c>
      <c r="O24" t="s">
        <v>124</v>
      </c>
      <c r="P24" t="s">
        <v>128</v>
      </c>
      <c r="Q24" t="s">
        <v>127</v>
      </c>
      <c r="R24" t="s">
        <v>124</v>
      </c>
      <c r="S24" t="s">
        <v>130</v>
      </c>
      <c r="T24" t="s">
        <v>129</v>
      </c>
      <c r="U24" t="s">
        <v>122</v>
      </c>
      <c r="V24" t="s">
        <v>124</v>
      </c>
      <c r="W24" t="s">
        <v>125</v>
      </c>
      <c r="X24" t="s">
        <v>128</v>
      </c>
      <c r="Y24" t="s">
        <v>131</v>
      </c>
      <c r="Z24" t="s">
        <v>124</v>
      </c>
      <c r="AA24" t="s">
        <v>128</v>
      </c>
      <c r="AB24" t="s">
        <v>124</v>
      </c>
      <c r="AC24" t="s">
        <v>124</v>
      </c>
      <c r="AD24" t="s">
        <v>131</v>
      </c>
      <c r="AE24" t="s">
        <v>132</v>
      </c>
      <c r="AF24" t="s">
        <v>125</v>
      </c>
      <c r="AG24" t="s">
        <v>133</v>
      </c>
      <c r="AH24" t="s">
        <v>124</v>
      </c>
      <c r="AI24" t="s">
        <v>134</v>
      </c>
      <c r="AN24" s="1" t="str">
        <f>IF(Table1[[#This Row],[Participation]]="","",VALUE(_xlfn.TEXTBEFORE(Table1[[#This Row],[Participation]],"%"))/10)</f>
        <v/>
      </c>
    </row>
    <row r="25" spans="1:40" x14ac:dyDescent="0.3">
      <c r="D25" t="s">
        <v>36</v>
      </c>
      <c r="E25" t="s">
        <v>135</v>
      </c>
      <c r="F25" t="s">
        <v>123</v>
      </c>
      <c r="G25" t="s">
        <v>133</v>
      </c>
      <c r="H25" t="s">
        <v>134</v>
      </c>
      <c r="I25" t="s">
        <v>135</v>
      </c>
      <c r="J25" t="s">
        <v>136</v>
      </c>
      <c r="K25" t="s">
        <v>123</v>
      </c>
      <c r="L25" t="s">
        <v>131</v>
      </c>
      <c r="M25" t="s">
        <v>137</v>
      </c>
      <c r="N25" t="s">
        <v>138</v>
      </c>
      <c r="O25" t="s">
        <v>133</v>
      </c>
      <c r="P25" t="s">
        <v>137</v>
      </c>
      <c r="Q25" t="s">
        <v>131</v>
      </c>
      <c r="R25" t="s">
        <v>133</v>
      </c>
      <c r="S25" t="s">
        <v>139</v>
      </c>
      <c r="T25" t="s">
        <v>138</v>
      </c>
      <c r="U25" t="s">
        <v>135</v>
      </c>
      <c r="V25" t="s">
        <v>133</v>
      </c>
      <c r="W25" t="s">
        <v>134</v>
      </c>
      <c r="X25" t="s">
        <v>137</v>
      </c>
      <c r="Y25" t="s">
        <v>127</v>
      </c>
      <c r="Z25" t="s">
        <v>133</v>
      </c>
      <c r="AA25" t="s">
        <v>137</v>
      </c>
      <c r="AB25" t="s">
        <v>133</v>
      </c>
      <c r="AC25" t="s">
        <v>133</v>
      </c>
      <c r="AD25" t="s">
        <v>127</v>
      </c>
      <c r="AE25" t="s">
        <v>140</v>
      </c>
      <c r="AF25" t="s">
        <v>134</v>
      </c>
      <c r="AG25" t="s">
        <v>124</v>
      </c>
      <c r="AH25" t="s">
        <v>133</v>
      </c>
      <c r="AI25" t="s">
        <v>125</v>
      </c>
      <c r="AN25" s="1" t="str">
        <f>IF(Table1[[#This Row],[Participation]]="","",VALUE(_xlfn.TEXTBEFORE(Table1[[#This Row],[Participation]],"%"))/10)</f>
        <v/>
      </c>
    </row>
    <row r="26" spans="1:40" x14ac:dyDescent="0.3">
      <c r="D26" t="s">
        <v>37</v>
      </c>
      <c r="E26" t="s">
        <v>141</v>
      </c>
      <c r="F26" t="s">
        <v>141</v>
      </c>
      <c r="G26" t="s">
        <v>141</v>
      </c>
      <c r="H26" t="s">
        <v>141</v>
      </c>
      <c r="I26" t="s">
        <v>141</v>
      </c>
      <c r="J26" t="s">
        <v>141</v>
      </c>
      <c r="K26" t="s">
        <v>141</v>
      </c>
      <c r="L26" t="s">
        <v>141</v>
      </c>
      <c r="M26" t="s">
        <v>141</v>
      </c>
      <c r="N26" t="s">
        <v>141</v>
      </c>
      <c r="O26" t="s">
        <v>141</v>
      </c>
      <c r="P26" t="s">
        <v>141</v>
      </c>
      <c r="Q26" t="s">
        <v>141</v>
      </c>
      <c r="R26" t="s">
        <v>141</v>
      </c>
      <c r="S26" t="s">
        <v>141</v>
      </c>
      <c r="T26" t="s">
        <v>141</v>
      </c>
      <c r="U26" t="s">
        <v>141</v>
      </c>
      <c r="V26" t="s">
        <v>141</v>
      </c>
      <c r="W26" t="s">
        <v>141</v>
      </c>
      <c r="X26" t="s">
        <v>141</v>
      </c>
      <c r="Y26" t="s">
        <v>141</v>
      </c>
      <c r="Z26" t="s">
        <v>141</v>
      </c>
      <c r="AA26" t="s">
        <v>141</v>
      </c>
      <c r="AB26" t="s">
        <v>141</v>
      </c>
      <c r="AC26" t="s">
        <v>141</v>
      </c>
      <c r="AD26" t="s">
        <v>141</v>
      </c>
      <c r="AE26" t="s">
        <v>141</v>
      </c>
      <c r="AF26" t="s">
        <v>141</v>
      </c>
      <c r="AG26" t="s">
        <v>141</v>
      </c>
      <c r="AH26" t="s">
        <v>141</v>
      </c>
      <c r="AI26" t="s">
        <v>141</v>
      </c>
      <c r="AN26" s="1" t="str">
        <f>IF(Table1[[#This Row],[Participation]]="","",VALUE(_xlfn.TEXTBEFORE(Table1[[#This Row],[Participation]],"%"))/10)</f>
        <v/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PSIR220 01 2024-25 2 Teorik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Erol Kaymak</dc:creator>
  <cp:lastModifiedBy>Erol Kaymak</cp:lastModifiedBy>
  <dcterms:created xsi:type="dcterms:W3CDTF">2025-06-30T08:15:28Z</dcterms:created>
  <dcterms:modified xsi:type="dcterms:W3CDTF">2025-06-30T08:27:06Z</dcterms:modified>
</cp:coreProperties>
</file>